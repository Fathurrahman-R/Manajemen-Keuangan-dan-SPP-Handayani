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gitalisasi\Downloads\"/>
    </mc:Choice>
  </mc:AlternateContent>
  <xr:revisionPtr revIDLastSave="0" documentId="13_ncr:1_{7A758F66-73B5-47A5-837F-85D228EF3CA9}" xr6:coauthVersionLast="47" xr6:coauthVersionMax="47" xr10:uidLastSave="{00000000-0000-0000-0000-000000000000}"/>
  <bookViews>
    <workbookView xWindow="-110" yWindow="-110" windowWidth="19420" windowHeight="10300" xr2:uid="{E630D8A6-D195-47A9-A46E-F34198D28FFB}"/>
  </bookViews>
  <sheets>
    <sheet name="MATAHARI" sheetId="1" r:id="rId1"/>
    <sheet name="BINTANG" sheetId="2" r:id="rId2"/>
    <sheet name="BULA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" l="1"/>
  <c r="C30" i="3" l="1"/>
  <c r="C29" i="3"/>
  <c r="B11" i="3"/>
  <c r="C11" i="3" s="1"/>
  <c r="D11" i="3" s="1"/>
  <c r="E11" i="3" s="1"/>
  <c r="F11" i="3" s="1"/>
  <c r="G11" i="3" s="1"/>
  <c r="H11" i="3" s="1"/>
  <c r="I11" i="3" s="1"/>
  <c r="J11" i="3" s="1"/>
  <c r="K11" i="3" s="1"/>
  <c r="C39" i="2"/>
  <c r="B11" i="2"/>
  <c r="C11" i="2" s="1"/>
  <c r="D11" i="2" s="1"/>
  <c r="E11" i="2" s="1"/>
  <c r="F11" i="2" s="1"/>
  <c r="G11" i="2" s="1"/>
  <c r="H11" i="2" s="1"/>
  <c r="I11" i="2" s="1"/>
  <c r="J11" i="2" s="1"/>
  <c r="K11" i="2" s="1"/>
  <c r="C39" i="1"/>
  <c r="B11" i="1"/>
  <c r="C11" i="1" s="1"/>
  <c r="D11" i="1" s="1"/>
  <c r="E11" i="1" s="1"/>
  <c r="F11" i="1" s="1"/>
  <c r="G11" i="1" s="1"/>
  <c r="H11" i="1" s="1"/>
  <c r="I11" i="1" s="1"/>
  <c r="J11" i="1" s="1"/>
  <c r="K11" i="1" s="1"/>
  <c r="C31" i="3" l="1"/>
  <c r="C40" i="2"/>
  <c r="C41" i="1"/>
</calcChain>
</file>

<file path=xl/sharedStrings.xml><?xml version="1.0" encoding="utf-8"?>
<sst xmlns="http://schemas.openxmlformats.org/spreadsheetml/2006/main" count="722" uniqueCount="256">
  <si>
    <t xml:space="preserve">DATA SISWA TK HANDAYANI (BILINGUAL) </t>
  </si>
  <si>
    <t>Nama Sekolah</t>
  </si>
  <si>
    <t>: TK HANDAYANI (BILINGUAL)</t>
  </si>
  <si>
    <t>NPSN</t>
  </si>
  <si>
    <t>: 69903694</t>
  </si>
  <si>
    <t>Kelas/Rombel</t>
  </si>
  <si>
    <t>: MATAHARI</t>
  </si>
  <si>
    <t>Alamat</t>
  </si>
  <si>
    <t>: Jalan Selat Panjang  No. 357, Kelurahan Siantan Hulu, Kecamatan Pontianak Utara</t>
  </si>
  <si>
    <t>No</t>
  </si>
  <si>
    <t>Nomor Induk Siswa</t>
  </si>
  <si>
    <t>Nama Siswa</t>
  </si>
  <si>
    <t>L/P</t>
  </si>
  <si>
    <t>Tempat dan Tanggal Lahir</t>
  </si>
  <si>
    <t>Agama</t>
  </si>
  <si>
    <t>Orang Tua</t>
  </si>
  <si>
    <t>Diterima</t>
  </si>
  <si>
    <t>Sekolah</t>
  </si>
  <si>
    <t>Nasional</t>
  </si>
  <si>
    <t>Tempat</t>
  </si>
  <si>
    <t>Tanggal Lahir</t>
  </si>
  <si>
    <t>Nama Ayah</t>
  </si>
  <si>
    <t>Pend.</t>
  </si>
  <si>
    <t>Pekerjaan</t>
  </si>
  <si>
    <t>Nama Ibu</t>
  </si>
  <si>
    <t>di kls</t>
  </si>
  <si>
    <t>tahun</t>
  </si>
  <si>
    <t>P</t>
  </si>
  <si>
    <t>Kubu Raya</t>
  </si>
  <si>
    <t>Islam</t>
  </si>
  <si>
    <t>SMP</t>
  </si>
  <si>
    <t>Swasta</t>
  </si>
  <si>
    <t>IRT</t>
  </si>
  <si>
    <t>Matahari</t>
  </si>
  <si>
    <t>L</t>
  </si>
  <si>
    <t>Pontianak</t>
  </si>
  <si>
    <t>SMA</t>
  </si>
  <si>
    <t>SD</t>
  </si>
  <si>
    <t>S1</t>
  </si>
  <si>
    <t>Buruh</t>
  </si>
  <si>
    <t>Wirausaha</t>
  </si>
  <si>
    <t>Fitriadi</t>
  </si>
  <si>
    <t>Widya Paramita</t>
  </si>
  <si>
    <t>Wiraswasta</t>
  </si>
  <si>
    <t xml:space="preserve">Keterangan </t>
  </si>
  <si>
    <t xml:space="preserve">P </t>
  </si>
  <si>
    <t>Pontianak, 14 Juli 2024</t>
  </si>
  <si>
    <t>Jumlah</t>
  </si>
  <si>
    <t>Kepala Sekolah,</t>
  </si>
  <si>
    <t>Lilik Handayani, S. Pd</t>
  </si>
  <si>
    <t>Nuptk. 3953 7616 6130 0002</t>
  </si>
  <si>
    <t>TAHUN PELAJARAN 2026/2027</t>
  </si>
  <si>
    <t>Kristen</t>
  </si>
  <si>
    <t>Petrus</t>
  </si>
  <si>
    <t>SMK</t>
  </si>
  <si>
    <t>Julia Wati</t>
  </si>
  <si>
    <t>Kenzzie</t>
  </si>
  <si>
    <t>Alvino Daffa Alfarezi</t>
  </si>
  <si>
    <t>21/01/2021</t>
  </si>
  <si>
    <t>Syamsudin</t>
  </si>
  <si>
    <t>Nurbaya</t>
  </si>
  <si>
    <t>Safwan Assaidi</t>
  </si>
  <si>
    <t>Januarianto</t>
  </si>
  <si>
    <t>Nurjani</t>
  </si>
  <si>
    <t>Muhammad Hafiz</t>
  </si>
  <si>
    <t>18/09/2020</t>
  </si>
  <si>
    <t>M. Ilyas</t>
  </si>
  <si>
    <t>Aisa Rohani</t>
  </si>
  <si>
    <t>Arif Rahman Hakim</t>
  </si>
  <si>
    <t>16/03/2021</t>
  </si>
  <si>
    <t>Arif</t>
  </si>
  <si>
    <t>Sinarti</t>
  </si>
  <si>
    <t>Muhammad Ramadhan Al Fatih</t>
  </si>
  <si>
    <t>Jamaludin</t>
  </si>
  <si>
    <t>Syarifah</t>
  </si>
  <si>
    <t>Rayya Hafizah Ghania</t>
  </si>
  <si>
    <t>21/10/2020</t>
  </si>
  <si>
    <t>Noviardi Priyono, S. Pd</t>
  </si>
  <si>
    <t>Mulianita</t>
  </si>
  <si>
    <t>Muhammad Azmi Aldafi</t>
  </si>
  <si>
    <t>21/07/2021</t>
  </si>
  <si>
    <t>Abdul Wahid</t>
  </si>
  <si>
    <t>Yeni Parnita</t>
  </si>
  <si>
    <t>Beby Arsyila</t>
  </si>
  <si>
    <t>27/10/2020</t>
  </si>
  <si>
    <t>Sendi</t>
  </si>
  <si>
    <t>Fitri Julianti</t>
  </si>
  <si>
    <t>Hanan Athaillah</t>
  </si>
  <si>
    <t>19/07/2020</t>
  </si>
  <si>
    <t>Burhan</t>
  </si>
  <si>
    <t>Lesi Yunisari</t>
  </si>
  <si>
    <t>Muhammad Al Dafi</t>
  </si>
  <si>
    <t>Bambang Gusyanto</t>
  </si>
  <si>
    <t>Anisa</t>
  </si>
  <si>
    <t>Fitri Raimawati</t>
  </si>
  <si>
    <t>Edi Samana</t>
  </si>
  <si>
    <t>Ria Ariyani</t>
  </si>
  <si>
    <t>Akhmar Nizama Ibrahim</t>
  </si>
  <si>
    <t>Ervandi</t>
  </si>
  <si>
    <t>Nurhaini</t>
  </si>
  <si>
    <t>Hafidz Sofyan Attsaury</t>
  </si>
  <si>
    <t>17/03/2022</t>
  </si>
  <si>
    <t>Shanum Chairunnisa</t>
  </si>
  <si>
    <t>25/03/2021</t>
  </si>
  <si>
    <t>Chairul Bahriansyah, M. Pd</t>
  </si>
  <si>
    <t>S2</t>
  </si>
  <si>
    <t>Guru</t>
  </si>
  <si>
    <t>Nita Mayasari</t>
  </si>
  <si>
    <t>Raffasya Al Syafiq</t>
  </si>
  <si>
    <t>Rosiadi</t>
  </si>
  <si>
    <t>Winiarti</t>
  </si>
  <si>
    <t>Queenza Naura Olivia</t>
  </si>
  <si>
    <t>Willy Tiandi</t>
  </si>
  <si>
    <t>Ratu Mega Sari</t>
  </si>
  <si>
    <t>Najma Annahdi</t>
  </si>
  <si>
    <t>18/03/2021</t>
  </si>
  <si>
    <t>Fauzi Annahdi</t>
  </si>
  <si>
    <t>Nursagita</t>
  </si>
  <si>
    <t>Alesha Kekira Almeera</t>
  </si>
  <si>
    <t>Mempawah</t>
  </si>
  <si>
    <t>14/02/2021</t>
  </si>
  <si>
    <t>Dedi Saputra</t>
  </si>
  <si>
    <t>Hertika</t>
  </si>
  <si>
    <t>Aurora Faradilla Azni</t>
  </si>
  <si>
    <t>31/08/2021</t>
  </si>
  <si>
    <t>Tri Andono Susongko</t>
  </si>
  <si>
    <t>PNS</t>
  </si>
  <si>
    <t>Yessi Helianawati</t>
  </si>
  <si>
    <t>D3</t>
  </si>
  <si>
    <t>: BINTANG</t>
  </si>
  <si>
    <t>: BULAN</t>
  </si>
  <si>
    <t>AINUHA SURAIYA</t>
  </si>
  <si>
    <t>Feri Waldiansyah</t>
  </si>
  <si>
    <t>Tiara Amalia</t>
  </si>
  <si>
    <t>Bulan</t>
  </si>
  <si>
    <t>HAZEL TULIP SAPUTRI</t>
  </si>
  <si>
    <t>NAZLI CHAIZA NAYYARA</t>
  </si>
  <si>
    <t>SYAQILA HASNA ANINDA ZAKARIA</t>
  </si>
  <si>
    <t>NADHIRA FAHMARA ZANITTA</t>
  </si>
  <si>
    <t>Razqya Zia Khairunnisa</t>
  </si>
  <si>
    <t>Singkawang</t>
  </si>
  <si>
    <t>Aldith Setiawan</t>
  </si>
  <si>
    <t>Rina Kumiyawati</t>
  </si>
  <si>
    <t>Zalfa Ringin Siregar</t>
  </si>
  <si>
    <t>18/11/2020</t>
  </si>
  <si>
    <t>Risman Siregar</t>
  </si>
  <si>
    <t>Nurhamidah Harahap</t>
  </si>
  <si>
    <t>Muhammad Fadilla Risky</t>
  </si>
  <si>
    <t>islam</t>
  </si>
  <si>
    <t>Antonius Reki</t>
  </si>
  <si>
    <t>-</t>
  </si>
  <si>
    <t>E'en Andriani</t>
  </si>
  <si>
    <t>Hanif</t>
  </si>
  <si>
    <t>Hilya Nurul Azkia</t>
  </si>
  <si>
    <t>Putri Yana Ahmadi</t>
  </si>
  <si>
    <t>Refan Niyandi Tirta</t>
  </si>
  <si>
    <t>Shanum Qiandra Putri</t>
  </si>
  <si>
    <t>Shireen Nur Azzahra</t>
  </si>
  <si>
    <t>Tazeem Alfasa Sofian</t>
  </si>
  <si>
    <t>Nurhadi</t>
  </si>
  <si>
    <t>Libasul Jannah</t>
  </si>
  <si>
    <t>17/3/2021</t>
  </si>
  <si>
    <t>Angga Ariyanto Saputra</t>
  </si>
  <si>
    <t>Susanti</t>
  </si>
  <si>
    <t>Muhammad Ammar Ibrahim</t>
  </si>
  <si>
    <t>Mardianto</t>
  </si>
  <si>
    <t>Devi Febriliana</t>
  </si>
  <si>
    <t>Amiira Qaila Annaila</t>
  </si>
  <si>
    <t>Franda</t>
  </si>
  <si>
    <t>Ghazia Kaureen Kadira</t>
  </si>
  <si>
    <t>Humaira Bahira Candani</t>
  </si>
  <si>
    <t>Irayya Azzahra</t>
  </si>
  <si>
    <t>Muhammad Abdar Kenan</t>
  </si>
  <si>
    <t>Muhammad Abiyyu Ardani</t>
  </si>
  <si>
    <t>Muhammad Fadli</t>
  </si>
  <si>
    <t>19/04/2021</t>
  </si>
  <si>
    <t>Muhammad Rayval</t>
  </si>
  <si>
    <t>Fitri Ahdayani</t>
  </si>
  <si>
    <t>Muazan</t>
  </si>
  <si>
    <t>Winda Yaniwulandari</t>
  </si>
  <si>
    <t>Aisyah Putri Maharani</t>
  </si>
  <si>
    <t>24/07/2020</t>
  </si>
  <si>
    <t>Rudiawan</t>
  </si>
  <si>
    <t>Pedagang</t>
  </si>
  <si>
    <t>Rohibeh</t>
  </si>
  <si>
    <t>Razqya Yumna Anugerah</t>
  </si>
  <si>
    <t>26/06/2022</t>
  </si>
  <si>
    <t>Rezza Anugerah</t>
  </si>
  <si>
    <t>Neli Yuanita</t>
  </si>
  <si>
    <t>15/02/2020</t>
  </si>
  <si>
    <t>Ahmad Hermanto</t>
  </si>
  <si>
    <t>Siti Paryati</t>
  </si>
  <si>
    <t>Siti Aisyah</t>
  </si>
  <si>
    <t>18/04/2021</t>
  </si>
  <si>
    <t>Sahri</t>
  </si>
  <si>
    <t>Alfiah</t>
  </si>
  <si>
    <t>25/02/2021</t>
  </si>
  <si>
    <t>Sandi Sutrisno</t>
  </si>
  <si>
    <t>Nurul Arfany</t>
  </si>
  <si>
    <t>Semarang</t>
  </si>
  <si>
    <t>30/01/2021</t>
  </si>
  <si>
    <t>Suryadi</t>
  </si>
  <si>
    <t>Nurul Hekmawati</t>
  </si>
  <si>
    <t>Tarjan Sofian</t>
  </si>
  <si>
    <t>Tria Fajar Januari</t>
  </si>
  <si>
    <t>17/09/2021</t>
  </si>
  <si>
    <t>M. Hamid</t>
  </si>
  <si>
    <t>Djamilah</t>
  </si>
  <si>
    <t>Vionetta Michelle</t>
  </si>
  <si>
    <t>Khatolik</t>
  </si>
  <si>
    <t>Darmadi</t>
  </si>
  <si>
    <t>Kiki</t>
  </si>
  <si>
    <t>Yunda Ariani Putri</t>
  </si>
  <si>
    <t>M. Arifin</t>
  </si>
  <si>
    <t>Anita Roni</t>
  </si>
  <si>
    <t>Naura Arashya Yustisio</t>
  </si>
  <si>
    <t>20/09/2021</t>
  </si>
  <si>
    <t>Angga Yustisio</t>
  </si>
  <si>
    <t>Misnadeh</t>
  </si>
  <si>
    <t>Muhammad Shaka Alfatian</t>
  </si>
  <si>
    <t>15/11/2021</t>
  </si>
  <si>
    <t>Buddha</t>
  </si>
  <si>
    <t>Januardy</t>
  </si>
  <si>
    <t>27/12/2021</t>
  </si>
  <si>
    <t>Eko Dwi Saputra</t>
  </si>
  <si>
    <t>Juniah</t>
  </si>
  <si>
    <t>11/11/202</t>
  </si>
  <si>
    <t>Zainal Abidin</t>
  </si>
  <si>
    <t>Kartini</t>
  </si>
  <si>
    <t>Abu Hafiz Abdillah</t>
  </si>
  <si>
    <t>18/10/2020</t>
  </si>
  <si>
    <t>Tabrani</t>
  </si>
  <si>
    <t>Chintya Dewi</t>
  </si>
  <si>
    <t>MUHAMMAD ARSHAKA ZULCHAIR GUNAWAN</t>
  </si>
  <si>
    <t>Andi Bunawan</t>
  </si>
  <si>
    <t>Sri Rezeki</t>
  </si>
  <si>
    <t>MUHAMMAD KADIFTAN ALFARIZIQ</t>
  </si>
  <si>
    <t>30/7/2021</t>
  </si>
  <si>
    <t>Olan Marjaya</t>
  </si>
  <si>
    <t>Seli Fadiawati</t>
  </si>
  <si>
    <t>23/4/2021</t>
  </si>
  <si>
    <t>Bohari</t>
  </si>
  <si>
    <t>Lilik Handayani</t>
  </si>
  <si>
    <t>Kepala Sekolah</t>
  </si>
  <si>
    <t>28/2/2021</t>
  </si>
  <si>
    <t>Gilang Ongki Zakaria</t>
  </si>
  <si>
    <t>Dina Febriana Rizki</t>
  </si>
  <si>
    <t>Bintang</t>
  </si>
  <si>
    <t>27/5/2022</t>
  </si>
  <si>
    <t>Husna Azzahira</t>
  </si>
  <si>
    <t>17/04/2022</t>
  </si>
  <si>
    <t>Muhammad Kadafi</t>
  </si>
  <si>
    <t>Apriyani Ardella</t>
  </si>
  <si>
    <t>17/10/2021</t>
  </si>
  <si>
    <t>M. Fauzi S</t>
  </si>
  <si>
    <t>Miftahul Jannah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</si>
</sst>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u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49" fontId="5" fillId="0" borderId="1" xfId="1" applyNumberFormat="1" applyFont="1" applyBorder="1" applyAlignment="1">
      <alignment horizontal="center" vertical="center"/>
    </xf>
    <xf numFmtId="0" fontId="3" fillId="0" borderId="0" xfId="1" applyFont="1"/>
    <xf numFmtId="14" fontId="2" fillId="0" borderId="1" xfId="1" applyNumberFormat="1" applyFont="1" applyBorder="1" applyAlignment="1">
      <alignment horizontal="center"/>
    </xf>
    <xf numFmtId="18" fontId="2" fillId="0" borderId="1" xfId="1" quotePrefix="1" applyNumberFormat="1" applyFont="1" applyBorder="1" applyAlignment="1">
      <alignment horizontal="center" vertical="center"/>
    </xf>
    <xf numFmtId="0" fontId="2" fillId="0" borderId="0" xfId="1" applyFont="1" applyAlignment="1">
      <alignment horizontal="left"/>
    </xf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  <xf numFmtId="0" fontId="7" fillId="0" borderId="0" xfId="1" applyFont="1" applyAlignment="1">
      <alignment horizontal="left" vertical="center"/>
    </xf>
    <xf numFmtId="0" fontId="5" fillId="0" borderId="1" xfId="0" applyFont="1" applyBorder="1"/>
    <xf numFmtId="0" fontId="2" fillId="0" borderId="1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0" xfId="1" applyFont="1" applyBorder="1"/>
    <xf numFmtId="0" fontId="6" fillId="0" borderId="1" xfId="0" applyFont="1" applyBorder="1"/>
    <xf numFmtId="0" fontId="2" fillId="0" borderId="1" xfId="1" applyFont="1" applyBorder="1"/>
    <xf numFmtId="0" fontId="2" fillId="0" borderId="1" xfId="0" applyFont="1" applyFill="1" applyBorder="1"/>
    <xf numFmtId="0" fontId="2" fillId="0" borderId="1" xfId="1" applyFont="1" applyFill="1" applyBorder="1" applyAlignment="1">
      <alignment horizont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2" fillId="0" borderId="1" xfId="1" applyFont="1" applyBorder="1" applyAlignment="1">
      <alignment horizontal="left" vertical="center"/>
    </xf>
    <xf numFmtId="0" fontId="2" fillId="0" borderId="1" xfId="1" applyFont="1" applyFill="1" applyBorder="1" applyAlignment="1">
      <alignment horizontal="left" vertical="center"/>
    </xf>
    <xf numFmtId="0" fontId="2" fillId="0" borderId="3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1" xfId="1" applyFont="1" applyBorder="1" applyAlignment="1">
      <alignment horizontal="left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Fill="1" applyBorder="1" applyAlignment="1">
      <alignment horizontal="left" vertical="center" wrapText="1"/>
    </xf>
    <xf numFmtId="0" fontId="2" fillId="0" borderId="0" xfId="1" applyFont="1" applyBorder="1" applyAlignment="1">
      <alignment horizontal="center" vertical="center"/>
    </xf>
    <xf numFmtId="0" fontId="2" fillId="0" borderId="0" xfId="1" applyFont="1" applyBorder="1" applyAlignment="1">
      <alignment horizontal="center"/>
    </xf>
    <xf numFmtId="0" fontId="4" fillId="0" borderId="0" xfId="1" applyFont="1" applyBorder="1" applyAlignment="1">
      <alignment vertical="center" wrapText="1"/>
    </xf>
    <xf numFmtId="0" fontId="2" fillId="0" borderId="0" xfId="1" applyFont="1" applyBorder="1" applyAlignment="1">
      <alignment horizontal="center" vertical="center" wrapText="1"/>
    </xf>
    <xf numFmtId="14" fontId="2" fillId="0" borderId="0" xfId="1" applyNumberFormat="1" applyFont="1" applyBorder="1" applyAlignment="1">
      <alignment horizontal="center"/>
    </xf>
    <xf numFmtId="18" fontId="2" fillId="0" borderId="0" xfId="1" quotePrefix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48CB7F0B-035C-4EFD-8A7D-180DFAFAC083}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22C25-A98F-4FC0-A8CC-220BD606706C}">
  <dimension ref="A1:P48"/>
  <sheetViews>
    <sheetView tabSelected="1" zoomScale="70" zoomScaleNormal="70" workbookViewId="0">
      <selection activeCell="O45" sqref="O45"/>
    </sheetView>
  </sheetViews>
  <sheetFormatPr defaultRowHeight="14.5" x14ac:dyDescent="0.35"/>
  <cols>
    <col min="1" max="1" width="13.54296875" bestFit="1" customWidth="1"/>
    <col min="2" max="2" width="11.453125" bestFit="1" customWidth="1"/>
    <col min="3" max="3" width="18.26953125" customWidth="1"/>
    <col min="4" max="4" width="28.81640625" bestFit="1" customWidth="1"/>
    <col min="5" max="5" width="5.08984375" bestFit="1" customWidth="1"/>
    <col min="6" max="7" width="13.08984375" bestFit="1" customWidth="1"/>
    <col min="8" max="8" width="8.36328125" bestFit="1" customWidth="1"/>
    <col min="9" max="9" width="25.54296875" bestFit="1" customWidth="1"/>
    <col min="10" max="10" width="5.81640625" bestFit="1" customWidth="1"/>
    <col min="11" max="11" width="12.453125" customWidth="1"/>
    <col min="12" max="12" width="21.7265625" bestFit="1" customWidth="1"/>
    <col min="13" max="13" width="7.81640625" bestFit="1" customWidth="1"/>
    <col min="14" max="14" width="9.54296875" bestFit="1" customWidth="1"/>
    <col min="15" max="15" width="19.1796875" customWidth="1"/>
    <col min="16" max="16" width="7.6328125" bestFit="1" customWidth="1"/>
  </cols>
  <sheetData>
    <row r="1" spans="1:16" ht="15.5" x14ac:dyDescent="0.3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ht="15.5" x14ac:dyDescent="0.35">
      <c r="A2" s="22" t="s">
        <v>51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ht="15.5" x14ac:dyDescent="0.35">
      <c r="A3" s="1"/>
      <c r="B3" s="1"/>
      <c r="C3" s="1"/>
      <c r="D3" s="1"/>
      <c r="E3" s="1"/>
      <c r="F3" s="2"/>
      <c r="G3" s="3"/>
      <c r="H3" s="1"/>
      <c r="I3" s="3"/>
      <c r="J3" s="1"/>
      <c r="K3" s="1"/>
      <c r="L3" s="1"/>
      <c r="M3" s="1"/>
      <c r="N3" s="1"/>
      <c r="O3" s="1"/>
      <c r="P3" s="1"/>
    </row>
    <row r="4" spans="1:16" ht="15.5" x14ac:dyDescent="0.35">
      <c r="A4" s="1" t="s">
        <v>1</v>
      </c>
      <c r="B4" s="1"/>
      <c r="C4" s="1" t="s">
        <v>2</v>
      </c>
      <c r="D4" s="1"/>
      <c r="E4" s="1"/>
      <c r="F4" s="2"/>
      <c r="G4" s="3"/>
      <c r="H4" s="1"/>
      <c r="I4" s="3"/>
      <c r="J4" s="1"/>
      <c r="K4" s="1"/>
      <c r="L4" s="1"/>
      <c r="M4" s="1"/>
      <c r="N4" s="1"/>
      <c r="O4" s="1"/>
      <c r="P4" s="1"/>
    </row>
    <row r="5" spans="1:16" ht="15.5" x14ac:dyDescent="0.35">
      <c r="A5" s="1" t="s">
        <v>3</v>
      </c>
      <c r="B5" s="1"/>
      <c r="C5" s="4" t="s">
        <v>4</v>
      </c>
      <c r="D5" s="4"/>
      <c r="E5" s="1"/>
      <c r="F5" s="2"/>
      <c r="G5" s="3"/>
      <c r="H5" s="1"/>
      <c r="I5" s="3"/>
      <c r="J5" s="1"/>
      <c r="K5" s="1"/>
      <c r="L5" s="1"/>
      <c r="M5" s="1"/>
      <c r="N5" s="1"/>
      <c r="O5" s="1"/>
      <c r="P5" s="1"/>
    </row>
    <row r="6" spans="1:16" ht="15.5" x14ac:dyDescent="0.35">
      <c r="A6" s="1" t="s">
        <v>5</v>
      </c>
      <c r="B6" s="1"/>
      <c r="C6" s="1" t="s">
        <v>6</v>
      </c>
      <c r="D6" s="1"/>
      <c r="E6" s="1"/>
      <c r="F6" s="2"/>
      <c r="G6" s="3"/>
      <c r="H6" s="1"/>
      <c r="I6" s="3"/>
      <c r="J6" s="1"/>
      <c r="K6" s="1"/>
      <c r="L6" s="1"/>
      <c r="M6" s="1"/>
      <c r="N6" s="1"/>
      <c r="O6" s="1"/>
      <c r="P6" s="1"/>
    </row>
    <row r="7" spans="1:16" ht="15.5" x14ac:dyDescent="0.35">
      <c r="A7" s="1" t="s">
        <v>7</v>
      </c>
      <c r="B7" s="1"/>
      <c r="C7" s="1" t="s">
        <v>8</v>
      </c>
      <c r="D7" s="1"/>
      <c r="E7" s="1"/>
      <c r="F7" s="2"/>
      <c r="G7" s="3"/>
      <c r="H7" s="1"/>
      <c r="I7" s="3"/>
      <c r="J7" s="1"/>
      <c r="K7" s="1"/>
      <c r="L7" s="1"/>
      <c r="M7" s="1"/>
      <c r="N7" s="1"/>
      <c r="O7" s="1"/>
      <c r="P7" s="1"/>
    </row>
    <row r="8" spans="1:16" ht="15.5" x14ac:dyDescent="0.35">
      <c r="A8" s="1"/>
      <c r="B8" s="1"/>
      <c r="C8" s="1"/>
      <c r="D8" s="1"/>
      <c r="E8" s="1"/>
      <c r="F8" s="2"/>
      <c r="G8" s="3"/>
      <c r="H8" s="1"/>
      <c r="I8" s="3"/>
      <c r="J8" s="1"/>
      <c r="K8" s="1"/>
      <c r="L8" s="1"/>
      <c r="M8" s="1"/>
      <c r="N8" s="1"/>
      <c r="O8" s="1"/>
      <c r="P8" s="1"/>
    </row>
    <row r="9" spans="1:16" ht="15.5" x14ac:dyDescent="0.35">
      <c r="A9" s="41" t="s">
        <v>9</v>
      </c>
      <c r="B9" s="21" t="s">
        <v>10</v>
      </c>
      <c r="C9" s="21"/>
      <c r="D9" s="23" t="s">
        <v>11</v>
      </c>
      <c r="E9" s="21" t="s">
        <v>12</v>
      </c>
      <c r="F9" s="23" t="s">
        <v>13</v>
      </c>
      <c r="G9" s="23"/>
      <c r="H9" s="21" t="s">
        <v>14</v>
      </c>
      <c r="I9" s="21" t="s">
        <v>15</v>
      </c>
      <c r="J9" s="21"/>
      <c r="K9" s="21"/>
      <c r="L9" s="21"/>
      <c r="M9" s="21"/>
      <c r="N9" s="21"/>
      <c r="O9" s="21" t="s">
        <v>16</v>
      </c>
      <c r="P9" s="21"/>
    </row>
    <row r="10" spans="1:16" ht="15.5" x14ac:dyDescent="0.35">
      <c r="A10" s="41"/>
      <c r="B10" s="17" t="s">
        <v>17</v>
      </c>
      <c r="C10" s="17" t="s">
        <v>18</v>
      </c>
      <c r="D10" s="23"/>
      <c r="E10" s="21"/>
      <c r="F10" s="17" t="s">
        <v>19</v>
      </c>
      <c r="G10" s="17" t="s">
        <v>20</v>
      </c>
      <c r="H10" s="21"/>
      <c r="I10" s="17" t="s">
        <v>21</v>
      </c>
      <c r="J10" s="17" t="s">
        <v>22</v>
      </c>
      <c r="K10" s="17" t="s">
        <v>23</v>
      </c>
      <c r="L10" s="17" t="s">
        <v>24</v>
      </c>
      <c r="M10" s="17" t="s">
        <v>22</v>
      </c>
      <c r="N10" s="17" t="s">
        <v>23</v>
      </c>
      <c r="O10" s="17" t="s">
        <v>25</v>
      </c>
      <c r="P10" s="17" t="s">
        <v>26</v>
      </c>
    </row>
    <row r="11" spans="1:16" ht="15.5" x14ac:dyDescent="0.35">
      <c r="A11" s="20">
        <v>1</v>
      </c>
      <c r="B11" s="17">
        <f t="shared" ref="B11:K11" si="0">A11+1</f>
        <v>2</v>
      </c>
      <c r="C11" s="17">
        <f t="shared" si="0"/>
        <v>3</v>
      </c>
      <c r="D11" s="17">
        <f>C11+1</f>
        <v>4</v>
      </c>
      <c r="E11" s="17">
        <f t="shared" si="0"/>
        <v>5</v>
      </c>
      <c r="F11" s="17">
        <f t="shared" si="0"/>
        <v>6</v>
      </c>
      <c r="G11" s="17">
        <f t="shared" si="0"/>
        <v>7</v>
      </c>
      <c r="H11" s="17">
        <f t="shared" si="0"/>
        <v>8</v>
      </c>
      <c r="I11" s="17">
        <f t="shared" si="0"/>
        <v>9</v>
      </c>
      <c r="J11" s="17">
        <f t="shared" si="0"/>
        <v>10</v>
      </c>
      <c r="K11" s="17">
        <f t="shared" si="0"/>
        <v>11</v>
      </c>
      <c r="L11" s="17">
        <v>12</v>
      </c>
      <c r="M11" s="17">
        <v>13</v>
      </c>
      <c r="N11" s="17">
        <v>14</v>
      </c>
      <c r="O11" s="17">
        <v>15</v>
      </c>
      <c r="P11" s="17">
        <v>16</v>
      </c>
    </row>
    <row r="12" spans="1:16" s="9" customFormat="1" ht="17.25" customHeight="1" x14ac:dyDescent="0.35">
      <c r="A12" s="20">
        <v>1</v>
      </c>
      <c r="B12" s="33"/>
      <c r="C12" s="5"/>
      <c r="D12" s="27" t="s">
        <v>229</v>
      </c>
      <c r="E12" s="7" t="s">
        <v>34</v>
      </c>
      <c r="F12" s="43" t="s">
        <v>35</v>
      </c>
      <c r="G12" s="7" t="s">
        <v>230</v>
      </c>
      <c r="H12" s="7" t="s">
        <v>29</v>
      </c>
      <c r="I12" s="43" t="s">
        <v>231</v>
      </c>
      <c r="J12" s="17" t="s">
        <v>30</v>
      </c>
      <c r="K12" s="17" t="s">
        <v>39</v>
      </c>
      <c r="L12" s="43" t="s">
        <v>232</v>
      </c>
      <c r="M12" s="7" t="s">
        <v>36</v>
      </c>
      <c r="N12" s="17" t="s">
        <v>32</v>
      </c>
      <c r="O12" s="7" t="s">
        <v>33</v>
      </c>
      <c r="P12" s="7">
        <v>2026</v>
      </c>
    </row>
    <row r="13" spans="1:16" s="9" customFormat="1" ht="17.25" customHeight="1" x14ac:dyDescent="0.35">
      <c r="A13" s="20">
        <v>2</v>
      </c>
      <c r="B13" s="33"/>
      <c r="C13" s="5"/>
      <c r="D13" s="16" t="s">
        <v>131</v>
      </c>
      <c r="E13" s="17" t="s">
        <v>27</v>
      </c>
      <c r="F13" s="45" t="s">
        <v>35</v>
      </c>
      <c r="G13" s="36">
        <v>44083</v>
      </c>
      <c r="H13" s="17" t="s">
        <v>29</v>
      </c>
      <c r="I13" s="39" t="s">
        <v>132</v>
      </c>
      <c r="J13" s="17" t="s">
        <v>36</v>
      </c>
      <c r="K13" s="17" t="s">
        <v>31</v>
      </c>
      <c r="L13" s="39" t="s">
        <v>133</v>
      </c>
      <c r="M13" s="17" t="s">
        <v>36</v>
      </c>
      <c r="N13" s="17" t="s">
        <v>32</v>
      </c>
      <c r="O13" s="7" t="s">
        <v>33</v>
      </c>
      <c r="P13" s="7">
        <v>2026</v>
      </c>
    </row>
    <row r="14" spans="1:16" ht="15.5" x14ac:dyDescent="0.35">
      <c r="A14" s="20">
        <v>3</v>
      </c>
      <c r="B14" s="33"/>
      <c r="C14" s="5"/>
      <c r="D14" s="16" t="s">
        <v>180</v>
      </c>
      <c r="E14" s="38" t="s">
        <v>27</v>
      </c>
      <c r="F14" s="37" t="s">
        <v>35</v>
      </c>
      <c r="G14" s="38" t="s">
        <v>181</v>
      </c>
      <c r="H14" s="38" t="s">
        <v>29</v>
      </c>
      <c r="I14" s="37" t="s">
        <v>182</v>
      </c>
      <c r="J14" s="6" t="s">
        <v>54</v>
      </c>
      <c r="K14" s="6" t="s">
        <v>183</v>
      </c>
      <c r="L14" s="37" t="s">
        <v>184</v>
      </c>
      <c r="M14" s="38" t="s">
        <v>36</v>
      </c>
      <c r="N14" s="6" t="s">
        <v>32</v>
      </c>
      <c r="O14" s="7" t="s">
        <v>33</v>
      </c>
      <c r="P14" s="7">
        <v>2026</v>
      </c>
    </row>
    <row r="15" spans="1:16" ht="15.5" x14ac:dyDescent="0.35">
      <c r="A15" s="20"/>
      <c r="B15" s="33"/>
      <c r="C15" s="5"/>
      <c r="D15" s="24" t="s">
        <v>97</v>
      </c>
      <c r="E15" s="7" t="s">
        <v>34</v>
      </c>
      <c r="F15" s="46" t="s">
        <v>35</v>
      </c>
      <c r="G15" s="34">
        <v>43961</v>
      </c>
      <c r="H15" s="17" t="s">
        <v>29</v>
      </c>
      <c r="I15" s="39" t="s">
        <v>98</v>
      </c>
      <c r="J15" s="17" t="s">
        <v>36</v>
      </c>
      <c r="K15" s="17" t="s">
        <v>31</v>
      </c>
      <c r="L15" s="39" t="s">
        <v>99</v>
      </c>
      <c r="M15" s="17" t="s">
        <v>36</v>
      </c>
      <c r="N15" s="17" t="s">
        <v>32</v>
      </c>
      <c r="O15" s="7" t="s">
        <v>33</v>
      </c>
      <c r="P15" s="7">
        <v>2026</v>
      </c>
    </row>
    <row r="16" spans="1:16" ht="15.5" x14ac:dyDescent="0.35">
      <c r="A16" s="20">
        <v>4</v>
      </c>
      <c r="B16" s="33"/>
      <c r="C16" s="5"/>
      <c r="D16" s="16" t="s">
        <v>57</v>
      </c>
      <c r="E16" s="7" t="s">
        <v>34</v>
      </c>
      <c r="F16" s="45" t="s">
        <v>28</v>
      </c>
      <c r="G16" s="36" t="s">
        <v>58</v>
      </c>
      <c r="H16" s="17" t="s">
        <v>29</v>
      </c>
      <c r="I16" s="39" t="s">
        <v>59</v>
      </c>
      <c r="J16" s="17" t="s">
        <v>36</v>
      </c>
      <c r="K16" s="17" t="s">
        <v>31</v>
      </c>
      <c r="L16" s="39" t="s">
        <v>60</v>
      </c>
      <c r="M16" s="17" t="s">
        <v>30</v>
      </c>
      <c r="N16" s="17" t="s">
        <v>31</v>
      </c>
      <c r="O16" s="7" t="s">
        <v>33</v>
      </c>
      <c r="P16" s="7">
        <v>2026</v>
      </c>
    </row>
    <row r="17" spans="1:16" ht="15.5" x14ac:dyDescent="0.35">
      <c r="A17" s="20">
        <v>5</v>
      </c>
      <c r="B17" s="33"/>
      <c r="C17" s="5"/>
      <c r="D17" s="24" t="s">
        <v>83</v>
      </c>
      <c r="E17" s="7" t="s">
        <v>27</v>
      </c>
      <c r="F17" s="46" t="s">
        <v>35</v>
      </c>
      <c r="G17" s="34" t="s">
        <v>84</v>
      </c>
      <c r="H17" s="17" t="s">
        <v>29</v>
      </c>
      <c r="I17" s="39" t="s">
        <v>85</v>
      </c>
      <c r="J17" s="17" t="s">
        <v>36</v>
      </c>
      <c r="K17" s="17" t="s">
        <v>31</v>
      </c>
      <c r="L17" s="39" t="s">
        <v>86</v>
      </c>
      <c r="M17" s="17" t="s">
        <v>36</v>
      </c>
      <c r="N17" s="17" t="s">
        <v>32</v>
      </c>
      <c r="O17" s="7" t="s">
        <v>33</v>
      </c>
      <c r="P17" s="7">
        <v>2026</v>
      </c>
    </row>
    <row r="18" spans="1:16" ht="15.5" x14ac:dyDescent="0.35">
      <c r="A18" s="20">
        <v>6</v>
      </c>
      <c r="B18" s="33"/>
      <c r="C18" s="5"/>
      <c r="D18" s="24" t="s">
        <v>87</v>
      </c>
      <c r="E18" s="7" t="s">
        <v>34</v>
      </c>
      <c r="F18" s="46" t="s">
        <v>35</v>
      </c>
      <c r="G18" s="34" t="s">
        <v>88</v>
      </c>
      <c r="H18" s="17" t="s">
        <v>29</v>
      </c>
      <c r="I18" s="39" t="s">
        <v>89</v>
      </c>
      <c r="J18" s="17" t="s">
        <v>36</v>
      </c>
      <c r="K18" s="17" t="s">
        <v>43</v>
      </c>
      <c r="L18" s="39" t="s">
        <v>90</v>
      </c>
      <c r="M18" s="17" t="s">
        <v>36</v>
      </c>
      <c r="N18" s="17" t="s">
        <v>32</v>
      </c>
      <c r="O18" s="7" t="s">
        <v>33</v>
      </c>
      <c r="P18" s="7">
        <v>2026</v>
      </c>
    </row>
    <row r="19" spans="1:16" ht="15.5" x14ac:dyDescent="0.35">
      <c r="A19" s="20">
        <v>7</v>
      </c>
      <c r="B19" s="33"/>
      <c r="C19" s="5"/>
      <c r="D19" s="27" t="s">
        <v>152</v>
      </c>
      <c r="E19" s="7" t="s">
        <v>34</v>
      </c>
      <c r="F19" s="46" t="s">
        <v>35</v>
      </c>
      <c r="G19" s="10">
        <v>44531</v>
      </c>
      <c r="H19" s="17" t="s">
        <v>29</v>
      </c>
      <c r="I19" s="39" t="s">
        <v>159</v>
      </c>
      <c r="J19" s="17" t="s">
        <v>36</v>
      </c>
      <c r="K19" s="17" t="s">
        <v>31</v>
      </c>
      <c r="L19" s="39" t="s">
        <v>160</v>
      </c>
      <c r="M19" s="17" t="s">
        <v>30</v>
      </c>
      <c r="N19" s="17" t="s">
        <v>32</v>
      </c>
      <c r="O19" s="7" t="s">
        <v>33</v>
      </c>
      <c r="P19" s="7">
        <v>2026</v>
      </c>
    </row>
    <row r="20" spans="1:16" ht="15.5" x14ac:dyDescent="0.35">
      <c r="A20" s="20">
        <v>8</v>
      </c>
      <c r="B20" s="33"/>
      <c r="C20" s="5"/>
      <c r="D20" s="16" t="s">
        <v>135</v>
      </c>
      <c r="E20" s="7" t="s">
        <v>27</v>
      </c>
      <c r="F20" s="45" t="s">
        <v>35</v>
      </c>
      <c r="G20" s="36" t="s">
        <v>161</v>
      </c>
      <c r="H20" s="17" t="s">
        <v>29</v>
      </c>
      <c r="I20" s="39" t="s">
        <v>162</v>
      </c>
      <c r="J20" s="17" t="s">
        <v>30</v>
      </c>
      <c r="K20" s="17" t="s">
        <v>43</v>
      </c>
      <c r="L20" s="39" t="s">
        <v>163</v>
      </c>
      <c r="M20" s="17" t="s">
        <v>36</v>
      </c>
      <c r="N20" s="17" t="s">
        <v>31</v>
      </c>
      <c r="O20" s="7" t="s">
        <v>33</v>
      </c>
      <c r="P20" s="7">
        <v>2026</v>
      </c>
    </row>
    <row r="21" spans="1:16" ht="15.5" x14ac:dyDescent="0.35">
      <c r="A21" s="20">
        <v>9</v>
      </c>
      <c r="B21" s="33"/>
      <c r="C21" s="5"/>
      <c r="D21" s="24" t="s">
        <v>153</v>
      </c>
      <c r="E21" s="7" t="s">
        <v>27</v>
      </c>
      <c r="F21" s="46" t="s">
        <v>35</v>
      </c>
      <c r="G21" s="34">
        <v>44470</v>
      </c>
      <c r="H21" s="17" t="s">
        <v>29</v>
      </c>
      <c r="I21" s="39" t="s">
        <v>178</v>
      </c>
      <c r="J21" s="17" t="s">
        <v>54</v>
      </c>
      <c r="K21" s="17" t="s">
        <v>40</v>
      </c>
      <c r="L21" s="39" t="s">
        <v>179</v>
      </c>
      <c r="M21" s="17" t="s">
        <v>54</v>
      </c>
      <c r="N21" s="17" t="s">
        <v>32</v>
      </c>
      <c r="O21" s="7" t="s">
        <v>33</v>
      </c>
      <c r="P21" s="7">
        <v>2026</v>
      </c>
    </row>
    <row r="22" spans="1:16" ht="15.5" x14ac:dyDescent="0.35">
      <c r="A22" s="20">
        <v>10</v>
      </c>
      <c r="B22" s="33"/>
      <c r="C22" s="5"/>
      <c r="D22" s="16" t="s">
        <v>233</v>
      </c>
      <c r="E22" s="7" t="s">
        <v>34</v>
      </c>
      <c r="F22" s="46" t="s">
        <v>28</v>
      </c>
      <c r="G22" s="34">
        <v>44415</v>
      </c>
      <c r="H22" s="17" t="s">
        <v>29</v>
      </c>
      <c r="I22" s="39" t="s">
        <v>234</v>
      </c>
      <c r="J22" s="17" t="s">
        <v>30</v>
      </c>
      <c r="K22" s="17" t="s">
        <v>31</v>
      </c>
      <c r="L22" s="39" t="s">
        <v>235</v>
      </c>
      <c r="M22" s="17" t="s">
        <v>30</v>
      </c>
      <c r="N22" s="17" t="s">
        <v>32</v>
      </c>
      <c r="O22" s="7" t="s">
        <v>33</v>
      </c>
      <c r="P22" s="7">
        <v>2026</v>
      </c>
    </row>
    <row r="23" spans="1:16" ht="15.5" x14ac:dyDescent="0.35">
      <c r="A23" s="20">
        <v>11</v>
      </c>
      <c r="B23" s="33"/>
      <c r="C23" s="5"/>
      <c r="D23" s="16" t="s">
        <v>147</v>
      </c>
      <c r="E23" s="38" t="s">
        <v>34</v>
      </c>
      <c r="F23" s="37" t="s">
        <v>35</v>
      </c>
      <c r="G23" s="44">
        <v>44318</v>
      </c>
      <c r="H23" s="38" t="s">
        <v>148</v>
      </c>
      <c r="I23" s="37" t="s">
        <v>149</v>
      </c>
      <c r="J23" s="6" t="s">
        <v>150</v>
      </c>
      <c r="K23" s="6" t="s">
        <v>150</v>
      </c>
      <c r="L23" s="37" t="s">
        <v>151</v>
      </c>
      <c r="M23" s="38" t="s">
        <v>36</v>
      </c>
      <c r="N23" s="6" t="s">
        <v>32</v>
      </c>
      <c r="O23" s="7" t="s">
        <v>33</v>
      </c>
      <c r="P23" s="7">
        <v>2026</v>
      </c>
    </row>
    <row r="24" spans="1:16" ht="15.5" x14ac:dyDescent="0.35">
      <c r="A24" s="20">
        <v>12</v>
      </c>
      <c r="B24" s="33"/>
      <c r="C24" s="5"/>
      <c r="D24" s="16" t="s">
        <v>64</v>
      </c>
      <c r="E24" s="7" t="s">
        <v>34</v>
      </c>
      <c r="F24" s="45" t="s">
        <v>35</v>
      </c>
      <c r="G24" s="36" t="s">
        <v>65</v>
      </c>
      <c r="H24" s="17" t="s">
        <v>29</v>
      </c>
      <c r="I24" s="39" t="s">
        <v>66</v>
      </c>
      <c r="J24" s="17" t="s">
        <v>30</v>
      </c>
      <c r="K24" s="17" t="s">
        <v>31</v>
      </c>
      <c r="L24" s="39" t="s">
        <v>67</v>
      </c>
      <c r="M24" s="17" t="s">
        <v>36</v>
      </c>
      <c r="N24" s="17" t="s">
        <v>32</v>
      </c>
      <c r="O24" s="7" t="s">
        <v>33</v>
      </c>
      <c r="P24" s="7">
        <v>2026</v>
      </c>
    </row>
    <row r="25" spans="1:16" ht="15.5" x14ac:dyDescent="0.35">
      <c r="A25" s="20">
        <v>13</v>
      </c>
      <c r="B25" s="33"/>
      <c r="C25" s="5"/>
      <c r="D25" s="16" t="s">
        <v>236</v>
      </c>
      <c r="E25" s="7" t="s">
        <v>34</v>
      </c>
      <c r="F25" s="46" t="s">
        <v>28</v>
      </c>
      <c r="G25" s="34" t="s">
        <v>237</v>
      </c>
      <c r="H25" s="17" t="s">
        <v>29</v>
      </c>
      <c r="I25" s="39" t="s">
        <v>238</v>
      </c>
      <c r="J25" s="17" t="s">
        <v>30</v>
      </c>
      <c r="K25" s="17" t="s">
        <v>31</v>
      </c>
      <c r="L25" s="39" t="s">
        <v>239</v>
      </c>
      <c r="M25" s="17" t="s">
        <v>30</v>
      </c>
      <c r="N25" s="17" t="s">
        <v>32</v>
      </c>
      <c r="O25" s="7" t="s">
        <v>33</v>
      </c>
      <c r="P25" s="7">
        <v>2026</v>
      </c>
    </row>
    <row r="26" spans="1:16" ht="15.5" x14ac:dyDescent="0.35">
      <c r="A26" s="20">
        <v>14</v>
      </c>
      <c r="B26" s="33"/>
      <c r="C26" s="5"/>
      <c r="D26" s="24" t="s">
        <v>136</v>
      </c>
      <c r="E26" s="7" t="s">
        <v>27</v>
      </c>
      <c r="F26" s="46" t="s">
        <v>35</v>
      </c>
      <c r="G26" s="34" t="s">
        <v>240</v>
      </c>
      <c r="H26" s="17" t="s">
        <v>29</v>
      </c>
      <c r="I26" s="39" t="s">
        <v>241</v>
      </c>
      <c r="J26" s="17" t="s">
        <v>38</v>
      </c>
      <c r="K26" s="17" t="s">
        <v>126</v>
      </c>
      <c r="L26" s="39" t="s">
        <v>242</v>
      </c>
      <c r="M26" s="17" t="s">
        <v>38</v>
      </c>
      <c r="N26" s="17" t="s">
        <v>243</v>
      </c>
      <c r="O26" s="7" t="s">
        <v>33</v>
      </c>
      <c r="P26" s="7">
        <v>2026</v>
      </c>
    </row>
    <row r="27" spans="1:16" ht="15.5" x14ac:dyDescent="0.35">
      <c r="A27" s="20">
        <v>15</v>
      </c>
      <c r="B27" s="33"/>
      <c r="C27" s="5"/>
      <c r="D27" s="24" t="s">
        <v>154</v>
      </c>
      <c r="E27" s="7" t="s">
        <v>34</v>
      </c>
      <c r="F27" s="46" t="s">
        <v>35</v>
      </c>
      <c r="G27" s="34" t="s">
        <v>189</v>
      </c>
      <c r="H27" s="17" t="s">
        <v>29</v>
      </c>
      <c r="I27" s="39" t="s">
        <v>190</v>
      </c>
      <c r="J27" s="17" t="s">
        <v>30</v>
      </c>
      <c r="K27" s="17" t="s">
        <v>39</v>
      </c>
      <c r="L27" s="39" t="s">
        <v>191</v>
      </c>
      <c r="M27" s="17" t="s">
        <v>37</v>
      </c>
      <c r="N27" s="17" t="s">
        <v>32</v>
      </c>
      <c r="O27" s="7" t="s">
        <v>33</v>
      </c>
      <c r="P27" s="7">
        <v>2026</v>
      </c>
    </row>
    <row r="28" spans="1:16" ht="15.5" x14ac:dyDescent="0.35">
      <c r="A28" s="20">
        <v>16</v>
      </c>
      <c r="B28" s="33"/>
      <c r="C28" s="5"/>
      <c r="D28" s="24" t="s">
        <v>111</v>
      </c>
      <c r="E28" s="7" t="s">
        <v>27</v>
      </c>
      <c r="F28" s="46" t="s">
        <v>35</v>
      </c>
      <c r="G28" s="34">
        <v>44256</v>
      </c>
      <c r="H28" s="17" t="s">
        <v>29</v>
      </c>
      <c r="I28" s="39" t="s">
        <v>112</v>
      </c>
      <c r="J28" s="17" t="s">
        <v>36</v>
      </c>
      <c r="K28" s="17" t="s">
        <v>39</v>
      </c>
      <c r="L28" s="39" t="s">
        <v>113</v>
      </c>
      <c r="M28" s="17" t="s">
        <v>30</v>
      </c>
      <c r="N28" s="17" t="s">
        <v>32</v>
      </c>
      <c r="O28" s="7" t="s">
        <v>33</v>
      </c>
      <c r="P28" s="7">
        <v>2026</v>
      </c>
    </row>
    <row r="29" spans="1:16" ht="13.5" customHeight="1" x14ac:dyDescent="0.35">
      <c r="A29" s="20">
        <v>17</v>
      </c>
      <c r="B29" s="33"/>
      <c r="C29" s="5"/>
      <c r="D29" s="24" t="s">
        <v>75</v>
      </c>
      <c r="E29" s="7" t="s">
        <v>27</v>
      </c>
      <c r="F29" s="46" t="s">
        <v>35</v>
      </c>
      <c r="G29" s="34" t="s">
        <v>76</v>
      </c>
      <c r="H29" s="17" t="s">
        <v>29</v>
      </c>
      <c r="I29" s="39" t="s">
        <v>77</v>
      </c>
      <c r="J29" s="17" t="s">
        <v>38</v>
      </c>
      <c r="K29" s="17" t="s">
        <v>31</v>
      </c>
      <c r="L29" s="39" t="s">
        <v>78</v>
      </c>
      <c r="M29" s="17" t="s">
        <v>36</v>
      </c>
      <c r="N29" s="17" t="s">
        <v>32</v>
      </c>
      <c r="O29" s="7" t="s">
        <v>33</v>
      </c>
      <c r="P29" s="7">
        <v>2026</v>
      </c>
    </row>
    <row r="30" spans="1:16" ht="15.5" x14ac:dyDescent="0.35">
      <c r="A30" s="20">
        <v>18</v>
      </c>
      <c r="B30" s="33"/>
      <c r="C30" s="5"/>
      <c r="D30" s="24" t="s">
        <v>155</v>
      </c>
      <c r="E30" s="7" t="s">
        <v>34</v>
      </c>
      <c r="F30" s="46" t="s">
        <v>35</v>
      </c>
      <c r="G30" s="34"/>
      <c r="H30" s="17"/>
      <c r="I30" s="39"/>
      <c r="J30" s="17"/>
      <c r="K30" s="17"/>
      <c r="L30" s="39"/>
      <c r="M30" s="17"/>
      <c r="N30" s="17"/>
      <c r="O30" s="7" t="s">
        <v>33</v>
      </c>
      <c r="P30" s="7">
        <v>2026</v>
      </c>
    </row>
    <row r="31" spans="1:16" ht="15.5" x14ac:dyDescent="0.35">
      <c r="A31" s="20">
        <v>19</v>
      </c>
      <c r="B31" s="8"/>
      <c r="C31" s="5"/>
      <c r="D31" s="16" t="s">
        <v>61</v>
      </c>
      <c r="E31" s="7" t="s">
        <v>34</v>
      </c>
      <c r="F31" s="45" t="s">
        <v>35</v>
      </c>
      <c r="G31" s="36">
        <v>43864</v>
      </c>
      <c r="H31" s="17" t="s">
        <v>29</v>
      </c>
      <c r="I31" s="39" t="s">
        <v>62</v>
      </c>
      <c r="J31" s="17" t="s">
        <v>36</v>
      </c>
      <c r="K31" s="17" t="s">
        <v>31</v>
      </c>
      <c r="L31" s="39" t="s">
        <v>63</v>
      </c>
      <c r="M31" s="17" t="s">
        <v>36</v>
      </c>
      <c r="N31" s="17" t="s">
        <v>32</v>
      </c>
      <c r="O31" s="7" t="s">
        <v>33</v>
      </c>
      <c r="P31" s="7">
        <v>2026</v>
      </c>
    </row>
    <row r="32" spans="1:16" ht="14.5" customHeight="1" x14ac:dyDescent="0.35">
      <c r="A32" s="20">
        <v>20</v>
      </c>
      <c r="B32" s="8"/>
      <c r="C32" s="5"/>
      <c r="D32" s="28" t="s">
        <v>156</v>
      </c>
      <c r="E32" s="29" t="s">
        <v>27</v>
      </c>
      <c r="F32" s="47" t="s">
        <v>35</v>
      </c>
      <c r="G32" s="38" t="s">
        <v>226</v>
      </c>
      <c r="H32" s="31" t="s">
        <v>29</v>
      </c>
      <c r="I32" s="40" t="s">
        <v>227</v>
      </c>
      <c r="J32" s="31" t="s">
        <v>38</v>
      </c>
      <c r="K32" s="31" t="s">
        <v>39</v>
      </c>
      <c r="L32" s="40" t="s">
        <v>228</v>
      </c>
      <c r="M32" s="31" t="s">
        <v>38</v>
      </c>
      <c r="N32" s="31" t="s">
        <v>32</v>
      </c>
      <c r="O32" s="7" t="s">
        <v>33</v>
      </c>
      <c r="P32" s="7">
        <v>2026</v>
      </c>
    </row>
    <row r="33" spans="1:16" ht="15.5" x14ac:dyDescent="0.35">
      <c r="A33" s="20">
        <v>21</v>
      </c>
      <c r="B33" s="8"/>
      <c r="C33" s="5"/>
      <c r="D33" s="24" t="s">
        <v>157</v>
      </c>
      <c r="E33" s="7" t="s">
        <v>27</v>
      </c>
      <c r="F33" s="46" t="s">
        <v>35</v>
      </c>
      <c r="G33" s="34"/>
      <c r="H33" s="17"/>
      <c r="I33" s="39"/>
      <c r="J33" s="17"/>
      <c r="K33" s="17"/>
      <c r="L33" s="39"/>
      <c r="M33" s="17"/>
      <c r="N33" s="17"/>
      <c r="O33" s="7" t="s">
        <v>33</v>
      </c>
      <c r="P33" s="7">
        <v>2026</v>
      </c>
    </row>
    <row r="34" spans="1:16" ht="15.5" x14ac:dyDescent="0.35">
      <c r="A34" s="20">
        <v>22</v>
      </c>
      <c r="B34" s="8"/>
      <c r="C34" s="5"/>
      <c r="D34" s="24" t="s">
        <v>137</v>
      </c>
      <c r="E34" s="7" t="s">
        <v>27</v>
      </c>
      <c r="F34" s="46" t="s">
        <v>35</v>
      </c>
      <c r="G34" s="34" t="s">
        <v>244</v>
      </c>
      <c r="H34" s="17" t="s">
        <v>29</v>
      </c>
      <c r="I34" s="39" t="s">
        <v>245</v>
      </c>
      <c r="J34" s="17" t="s">
        <v>38</v>
      </c>
      <c r="K34" s="17" t="s">
        <v>126</v>
      </c>
      <c r="L34" s="39" t="s">
        <v>246</v>
      </c>
      <c r="M34" s="17" t="s">
        <v>38</v>
      </c>
      <c r="N34" s="17" t="s">
        <v>126</v>
      </c>
      <c r="O34" s="7" t="s">
        <v>33</v>
      </c>
      <c r="P34" s="7">
        <v>2026</v>
      </c>
    </row>
    <row r="35" spans="1:16" ht="15.5" x14ac:dyDescent="0.35">
      <c r="A35" s="20">
        <v>23</v>
      </c>
      <c r="B35" s="8"/>
      <c r="C35" s="5"/>
      <c r="D35" s="32" t="s">
        <v>158</v>
      </c>
      <c r="E35" s="7" t="s">
        <v>34</v>
      </c>
      <c r="F35" s="46" t="s">
        <v>35</v>
      </c>
      <c r="G35" s="10">
        <v>44055</v>
      </c>
      <c r="H35" s="17" t="s">
        <v>29</v>
      </c>
      <c r="I35" s="39" t="s">
        <v>203</v>
      </c>
      <c r="J35" s="17" t="s">
        <v>38</v>
      </c>
      <c r="K35" s="17" t="s">
        <v>43</v>
      </c>
      <c r="L35" s="39" t="s">
        <v>204</v>
      </c>
      <c r="M35" s="17" t="s">
        <v>36</v>
      </c>
      <c r="N35" s="17" t="s">
        <v>32</v>
      </c>
      <c r="O35" s="7" t="s">
        <v>33</v>
      </c>
      <c r="P35" s="7">
        <v>2026</v>
      </c>
    </row>
    <row r="36" spans="1:16" ht="15.5" x14ac:dyDescent="0.35">
      <c r="A36" s="42">
        <v>24</v>
      </c>
      <c r="B36" s="7"/>
      <c r="C36" s="27"/>
      <c r="D36" s="32"/>
      <c r="E36" s="7"/>
      <c r="F36" s="19"/>
      <c r="G36" s="10"/>
      <c r="H36" s="17"/>
      <c r="I36" s="17"/>
      <c r="J36" s="17"/>
      <c r="K36" s="17"/>
      <c r="L36" s="17"/>
      <c r="M36" s="17"/>
      <c r="N36" s="17"/>
      <c r="O36" s="11"/>
      <c r="P36" s="17"/>
    </row>
    <row r="37" spans="1:16" ht="15.5" x14ac:dyDescent="0.35">
      <c r="A37" s="48"/>
      <c r="B37" s="49"/>
      <c r="C37" s="25"/>
      <c r="D37" s="50"/>
      <c r="E37" s="49"/>
      <c r="F37" s="51"/>
      <c r="G37" s="52"/>
      <c r="H37" s="48"/>
      <c r="I37" s="48"/>
      <c r="J37" s="48"/>
      <c r="K37" s="48"/>
      <c r="L37" s="48"/>
      <c r="M37" s="48"/>
      <c r="N37" s="48"/>
      <c r="O37" s="53"/>
      <c r="P37" s="48"/>
    </row>
    <row r="38" spans="1:16" ht="15.5" x14ac:dyDescent="0.35">
      <c r="A38" s="48"/>
      <c r="B38" s="49"/>
      <c r="C38" s="25"/>
      <c r="D38" s="50"/>
      <c r="E38" s="49"/>
      <c r="F38" s="51"/>
      <c r="G38" s="52"/>
      <c r="H38" s="48"/>
      <c r="I38" s="48"/>
      <c r="J38" s="48"/>
      <c r="K38" s="48"/>
      <c r="L38" s="48"/>
      <c r="M38" s="48"/>
      <c r="N38" s="48"/>
      <c r="O38" s="53"/>
      <c r="P38" s="48"/>
    </row>
    <row r="39" spans="1:16" ht="15.5" x14ac:dyDescent="0.35">
      <c r="A39" s="1"/>
      <c r="B39" s="18" t="s">
        <v>34</v>
      </c>
      <c r="C39" s="1">
        <f>COUNTIF($E$15:$E$36, "L")</f>
        <v>12</v>
      </c>
      <c r="D39" s="1"/>
      <c r="E39" s="1"/>
      <c r="F39" s="2"/>
      <c r="G39" s="18"/>
      <c r="H39" s="1"/>
      <c r="I39" s="18"/>
      <c r="J39" s="1"/>
      <c r="K39" s="1"/>
      <c r="L39" s="1"/>
      <c r="M39" s="1"/>
      <c r="N39" s="1"/>
      <c r="O39" s="1"/>
      <c r="P39" s="1"/>
    </row>
    <row r="40" spans="1:16" ht="15.5" x14ac:dyDescent="0.35">
      <c r="A40" s="1"/>
      <c r="B40" s="18" t="s">
        <v>45</v>
      </c>
      <c r="C40" s="1">
        <f>COUNTIF(E12:E36, "P")</f>
        <v>11</v>
      </c>
      <c r="D40" s="1"/>
      <c r="E40" s="1"/>
      <c r="F40" s="2"/>
      <c r="G40" s="18"/>
      <c r="H40" s="1"/>
      <c r="I40" s="18"/>
      <c r="J40" s="1"/>
      <c r="K40" s="1"/>
      <c r="L40" s="1"/>
      <c r="M40" s="1"/>
      <c r="N40" s="1"/>
      <c r="O40" s="1"/>
      <c r="P40" s="13"/>
    </row>
    <row r="41" spans="1:16" ht="15.5" x14ac:dyDescent="0.35">
      <c r="A41" s="1"/>
      <c r="B41" s="18" t="s">
        <v>47</v>
      </c>
      <c r="C41" s="1">
        <f>C39+C40</f>
        <v>23</v>
      </c>
      <c r="D41" s="1"/>
      <c r="E41" s="1"/>
      <c r="F41" s="2"/>
      <c r="G41" s="18"/>
      <c r="H41" s="1"/>
      <c r="I41" s="18"/>
      <c r="J41" s="1"/>
      <c r="K41" s="1"/>
      <c r="L41" s="1"/>
      <c r="M41" s="1"/>
      <c r="N41" s="1"/>
      <c r="O41" s="1"/>
      <c r="P41" s="13"/>
    </row>
    <row r="42" spans="1:16" ht="15.5" x14ac:dyDescent="0.35">
      <c r="A42" s="1"/>
      <c r="B42" s="1"/>
      <c r="C42" s="1"/>
      <c r="D42" s="1"/>
      <c r="E42" s="1"/>
      <c r="F42" s="2"/>
      <c r="G42" s="18"/>
      <c r="H42" s="1"/>
      <c r="I42" s="18"/>
      <c r="J42" s="1"/>
      <c r="K42" s="1"/>
      <c r="L42" s="1"/>
      <c r="M42" s="1"/>
      <c r="N42" s="1"/>
      <c r="O42" s="13" t="s">
        <v>46</v>
      </c>
      <c r="P42" s="1"/>
    </row>
    <row r="43" spans="1:16" ht="15.5" x14ac:dyDescent="0.35">
      <c r="A43" s="1"/>
      <c r="B43" s="1"/>
      <c r="C43" s="1"/>
      <c r="D43" s="1"/>
      <c r="E43" s="1"/>
      <c r="F43" s="2"/>
      <c r="G43" s="18"/>
      <c r="H43" s="1"/>
      <c r="I43" s="18"/>
      <c r="J43" s="1"/>
      <c r="K43" s="1"/>
      <c r="L43" s="1"/>
      <c r="M43" s="1"/>
      <c r="N43" s="1"/>
      <c r="O43" s="1" t="s">
        <v>48</v>
      </c>
      <c r="P43" s="13"/>
    </row>
    <row r="44" spans="1:16" ht="15.5" x14ac:dyDescent="0.35">
      <c r="A44" s="1"/>
      <c r="B44" s="1"/>
      <c r="C44" s="1"/>
      <c r="D44" s="1"/>
      <c r="E44" s="1"/>
      <c r="F44" s="2"/>
      <c r="G44" s="3"/>
      <c r="H44" s="1"/>
      <c r="I44" s="3"/>
      <c r="J44" s="1"/>
      <c r="K44" s="1"/>
      <c r="L44" s="1"/>
      <c r="M44" s="1"/>
      <c r="N44" s="1"/>
      <c r="O44" s="13"/>
      <c r="P44" s="13"/>
    </row>
    <row r="45" spans="1:16" ht="15.5" x14ac:dyDescent="0.35">
      <c r="A45" s="1"/>
      <c r="B45" s="9"/>
      <c r="C45" s="9"/>
      <c r="D45" s="1"/>
      <c r="E45" s="1"/>
      <c r="F45" s="2"/>
      <c r="G45" s="3"/>
      <c r="H45" s="1"/>
      <c r="I45" s="3"/>
      <c r="J45" s="1"/>
      <c r="K45" s="1"/>
      <c r="L45" s="1"/>
      <c r="M45" s="1"/>
      <c r="N45" s="1"/>
      <c r="O45" s="13"/>
      <c r="P45" s="13"/>
    </row>
    <row r="46" spans="1:16" ht="15.5" x14ac:dyDescent="0.35">
      <c r="A46" s="9"/>
      <c r="B46" s="9"/>
      <c r="C46" s="9"/>
      <c r="D46" s="1"/>
      <c r="E46" s="1"/>
      <c r="F46" s="2"/>
      <c r="G46" s="3"/>
      <c r="H46" s="1"/>
      <c r="I46" s="3"/>
      <c r="J46" s="1"/>
      <c r="K46" s="1"/>
      <c r="L46" s="1"/>
      <c r="M46" s="1"/>
      <c r="N46" s="1"/>
      <c r="O46" s="13"/>
      <c r="P46" s="13"/>
    </row>
    <row r="47" spans="1:16" ht="15.5" x14ac:dyDescent="0.35">
      <c r="A47" s="9"/>
      <c r="D47" s="9"/>
      <c r="E47" s="9"/>
      <c r="F47" s="2"/>
      <c r="G47" s="14"/>
      <c r="H47" s="9"/>
      <c r="I47" s="14"/>
      <c r="J47" s="9"/>
      <c r="K47" s="9"/>
      <c r="L47" s="9"/>
      <c r="M47" s="9"/>
      <c r="N47" s="9"/>
      <c r="O47" s="15" t="s">
        <v>49</v>
      </c>
      <c r="P47" s="9"/>
    </row>
    <row r="48" spans="1:16" ht="15.5" x14ac:dyDescent="0.35">
      <c r="D48" s="9"/>
      <c r="E48" s="9"/>
      <c r="F48" s="2"/>
      <c r="G48" s="14"/>
      <c r="H48" s="9"/>
      <c r="I48" s="14"/>
      <c r="J48" s="9"/>
      <c r="K48" s="9"/>
      <c r="L48" s="9"/>
      <c r="M48" s="9"/>
      <c r="N48" s="9"/>
      <c r="O48" s="1" t="s">
        <v>50</v>
      </c>
      <c r="P48" s="13"/>
    </row>
  </sheetData>
  <sortState xmlns:xlrd2="http://schemas.microsoft.com/office/spreadsheetml/2017/richdata2" ref="D14:P33">
    <sortCondition ref="D14:D33"/>
  </sortState>
  <mergeCells count="10">
    <mergeCell ref="A1:P1"/>
    <mergeCell ref="A2:P2"/>
    <mergeCell ref="A9:A10"/>
    <mergeCell ref="B9:C9"/>
    <mergeCell ref="D9:D10"/>
    <mergeCell ref="E9:E10"/>
    <mergeCell ref="F9:G9"/>
    <mergeCell ref="H9:H10"/>
    <mergeCell ref="I9:N9"/>
    <mergeCell ref="O9:P9"/>
  </mergeCells>
  <conditionalFormatting sqref="B20:B35 B13:B18">
    <cfRule type="duplicateValues" dxfId="2" priority="1" stopIfTrue="1"/>
  </conditionalFormatting>
  <dataValidations count="3">
    <dataValidation type="list" allowBlank="1" showDropDown="1" showInputMessage="1" showErrorMessage="1" error="Gunakan L = Laki-laki, P = Perempuan" prompt="L = Laki-laki_x000a_P = Perempuan" sqref="E24:E31 E15:E20 E22 E33:E38" xr:uid="{E12F16A5-536F-418C-9CB0-02E9FF6514A3}">
      <formula1>"L, P,"</formula1>
    </dataValidation>
    <dataValidation allowBlank="1" showInputMessage="1" showErrorMessage="1" prompt="(yyyy-mm-dd)_x000a_1996-05-18" sqref="G15:G20 G24:G31 G22 G33:G38 F34" xr:uid="{1151C6E9-2208-443F-8A06-B52F74D21FA5}"/>
    <dataValidation allowBlank="1" showInputMessage="1" showErrorMessage="1" prompt="Nomor Induk Siswa" sqref="B20:B35 B13:B18" xr:uid="{05D9915A-D330-48E0-A8AF-EA29105A8C17}"/>
  </dataValidation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848ED-4A16-40F2-9263-20B9085ADE39}">
  <dimension ref="A1:P45"/>
  <sheetViews>
    <sheetView topLeftCell="A5" zoomScale="55" zoomScaleNormal="55" workbookViewId="0">
      <selection activeCell="F27" sqref="F27"/>
    </sheetView>
  </sheetViews>
  <sheetFormatPr defaultRowHeight="14.5" x14ac:dyDescent="0.35"/>
  <cols>
    <col min="4" max="4" width="29.26953125" bestFit="1" customWidth="1"/>
    <col min="6" max="6" width="13.1796875" customWidth="1"/>
    <col min="7" max="7" width="15.36328125" customWidth="1"/>
    <col min="9" max="9" width="25.90625" bestFit="1" customWidth="1"/>
    <col min="11" max="11" width="11.453125" bestFit="1" customWidth="1"/>
    <col min="12" max="12" width="16.81640625" bestFit="1" customWidth="1"/>
  </cols>
  <sheetData>
    <row r="1" spans="1:16" ht="15.5" x14ac:dyDescent="0.3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ht="15.5" x14ac:dyDescent="0.35">
      <c r="A2" s="22" t="s">
        <v>51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ht="15.5" x14ac:dyDescent="0.35">
      <c r="A3" s="1"/>
      <c r="B3" s="1"/>
      <c r="C3" s="1"/>
      <c r="D3" s="1"/>
      <c r="E3" s="1"/>
      <c r="F3" s="2"/>
      <c r="G3" s="18"/>
      <c r="H3" s="1"/>
      <c r="I3" s="18"/>
      <c r="J3" s="1"/>
      <c r="K3" s="1"/>
      <c r="L3" s="1"/>
      <c r="M3" s="1"/>
      <c r="N3" s="1"/>
      <c r="O3" s="1"/>
      <c r="P3" s="1"/>
    </row>
    <row r="4" spans="1:16" ht="15.5" x14ac:dyDescent="0.35">
      <c r="A4" s="1" t="s">
        <v>1</v>
      </c>
      <c r="B4" s="1"/>
      <c r="C4" s="1" t="s">
        <v>2</v>
      </c>
      <c r="D4" s="1"/>
      <c r="E4" s="1"/>
      <c r="F4" s="2"/>
      <c r="G4" s="18"/>
      <c r="H4" s="1"/>
      <c r="I4" s="18"/>
      <c r="J4" s="1"/>
      <c r="K4" s="1"/>
      <c r="L4" s="1"/>
      <c r="M4" s="1"/>
      <c r="N4" s="1"/>
      <c r="O4" s="1"/>
      <c r="P4" s="1"/>
    </row>
    <row r="5" spans="1:16" ht="15.5" x14ac:dyDescent="0.35">
      <c r="A5" s="1" t="s">
        <v>3</v>
      </c>
      <c r="B5" s="1"/>
      <c r="C5" s="4" t="s">
        <v>4</v>
      </c>
      <c r="D5" s="4"/>
      <c r="E5" s="1"/>
      <c r="F5" s="2"/>
      <c r="G5" s="18"/>
      <c r="H5" s="1"/>
      <c r="I5" s="18"/>
      <c r="J5" s="1"/>
      <c r="K5" s="1"/>
      <c r="L5" s="1"/>
      <c r="M5" s="1"/>
      <c r="N5" s="1"/>
      <c r="O5" s="1"/>
      <c r="P5" s="1"/>
    </row>
    <row r="6" spans="1:16" ht="15.5" x14ac:dyDescent="0.35">
      <c r="A6" s="1" t="s">
        <v>5</v>
      </c>
      <c r="B6" s="1"/>
      <c r="C6" s="1" t="s">
        <v>129</v>
      </c>
      <c r="D6" s="1"/>
      <c r="E6" s="1"/>
      <c r="F6" s="2"/>
      <c r="G6" s="18"/>
      <c r="H6" s="1"/>
      <c r="I6" s="18"/>
      <c r="J6" s="1"/>
      <c r="K6" s="1"/>
      <c r="L6" s="1"/>
      <c r="M6" s="1"/>
      <c r="N6" s="1"/>
      <c r="O6" s="1"/>
      <c r="P6" s="1"/>
    </row>
    <row r="7" spans="1:16" ht="15.5" x14ac:dyDescent="0.35">
      <c r="A7" s="1" t="s">
        <v>7</v>
      </c>
      <c r="B7" s="1"/>
      <c r="C7" s="1" t="s">
        <v>8</v>
      </c>
      <c r="D7" s="1"/>
      <c r="E7" s="1"/>
      <c r="F7" s="2"/>
      <c r="G7" s="18"/>
      <c r="H7" s="1"/>
      <c r="I7" s="18"/>
      <c r="J7" s="1"/>
      <c r="K7" s="1"/>
      <c r="L7" s="1"/>
      <c r="M7" s="1"/>
      <c r="N7" s="1"/>
      <c r="O7" s="1"/>
      <c r="P7" s="1"/>
    </row>
    <row r="8" spans="1:16" ht="15.5" x14ac:dyDescent="0.35">
      <c r="A8" s="1"/>
      <c r="B8" s="1"/>
      <c r="C8" s="1"/>
      <c r="D8" s="1"/>
      <c r="E8" s="1"/>
      <c r="F8" s="2"/>
      <c r="G8" s="18"/>
      <c r="H8" s="1"/>
      <c r="I8" s="18"/>
      <c r="J8" s="1"/>
      <c r="K8" s="1"/>
      <c r="L8" s="1"/>
      <c r="M8" s="1"/>
      <c r="N8" s="1"/>
      <c r="O8" s="1"/>
      <c r="P8" s="1"/>
    </row>
    <row r="9" spans="1:16" ht="15.5" x14ac:dyDescent="0.35">
      <c r="A9" s="21" t="s">
        <v>9</v>
      </c>
      <c r="B9" s="21" t="s">
        <v>10</v>
      </c>
      <c r="C9" s="21"/>
      <c r="D9" s="23" t="s">
        <v>11</v>
      </c>
      <c r="E9" s="21" t="s">
        <v>12</v>
      </c>
      <c r="F9" s="23" t="s">
        <v>13</v>
      </c>
      <c r="G9" s="23"/>
      <c r="H9" s="21" t="s">
        <v>14</v>
      </c>
      <c r="I9" s="21" t="s">
        <v>15</v>
      </c>
      <c r="J9" s="21"/>
      <c r="K9" s="21"/>
      <c r="L9" s="21"/>
      <c r="M9" s="21"/>
      <c r="N9" s="21"/>
      <c r="O9" s="21" t="s">
        <v>16</v>
      </c>
      <c r="P9" s="21"/>
    </row>
    <row r="10" spans="1:16" ht="15.5" x14ac:dyDescent="0.35">
      <c r="A10" s="21"/>
      <c r="B10" s="17" t="s">
        <v>17</v>
      </c>
      <c r="C10" s="17" t="s">
        <v>18</v>
      </c>
      <c r="D10" s="23"/>
      <c r="E10" s="21"/>
      <c r="F10" s="17" t="s">
        <v>19</v>
      </c>
      <c r="G10" s="17" t="s">
        <v>20</v>
      </c>
      <c r="H10" s="21"/>
      <c r="I10" s="17" t="s">
        <v>21</v>
      </c>
      <c r="J10" s="17" t="s">
        <v>22</v>
      </c>
      <c r="K10" s="17" t="s">
        <v>23</v>
      </c>
      <c r="L10" s="17" t="s">
        <v>24</v>
      </c>
      <c r="M10" s="17" t="s">
        <v>22</v>
      </c>
      <c r="N10" s="17" t="s">
        <v>23</v>
      </c>
      <c r="O10" s="17" t="s">
        <v>25</v>
      </c>
      <c r="P10" s="17" t="s">
        <v>26</v>
      </c>
    </row>
    <row r="11" spans="1:16" ht="15.5" x14ac:dyDescent="0.35">
      <c r="A11" s="17">
        <v>1</v>
      </c>
      <c r="B11" s="17">
        <f t="shared" ref="B11:K11" si="0">A11+1</f>
        <v>2</v>
      </c>
      <c r="C11" s="17">
        <f t="shared" si="0"/>
        <v>3</v>
      </c>
      <c r="D11" s="17">
        <f>C11+1</f>
        <v>4</v>
      </c>
      <c r="E11" s="17">
        <f t="shared" si="0"/>
        <v>5</v>
      </c>
      <c r="F11" s="17">
        <f t="shared" si="0"/>
        <v>6</v>
      </c>
      <c r="G11" s="17">
        <f t="shared" si="0"/>
        <v>7</v>
      </c>
      <c r="H11" s="17">
        <f t="shared" si="0"/>
        <v>8</v>
      </c>
      <c r="I11" s="17">
        <f t="shared" si="0"/>
        <v>9</v>
      </c>
      <c r="J11" s="17">
        <f t="shared" si="0"/>
        <v>10</v>
      </c>
      <c r="K11" s="17">
        <f t="shared" si="0"/>
        <v>11</v>
      </c>
      <c r="L11" s="17">
        <v>12</v>
      </c>
      <c r="M11" s="17">
        <v>13</v>
      </c>
      <c r="N11" s="17">
        <v>14</v>
      </c>
      <c r="O11" s="17">
        <v>15</v>
      </c>
      <c r="P11" s="17">
        <v>16</v>
      </c>
    </row>
    <row r="12" spans="1:16" ht="15.5" x14ac:dyDescent="0.35">
      <c r="A12" s="17">
        <v>1</v>
      </c>
      <c r="B12" s="33"/>
      <c r="C12" s="5"/>
      <c r="D12" s="24" t="s">
        <v>118</v>
      </c>
      <c r="E12" s="7" t="s">
        <v>27</v>
      </c>
      <c r="F12" s="19" t="s">
        <v>119</v>
      </c>
      <c r="G12" s="34" t="s">
        <v>120</v>
      </c>
      <c r="H12" s="17" t="s">
        <v>29</v>
      </c>
      <c r="I12" s="39" t="s">
        <v>121</v>
      </c>
      <c r="J12" s="17" t="s">
        <v>36</v>
      </c>
      <c r="K12" s="17" t="s">
        <v>31</v>
      </c>
      <c r="L12" s="39" t="s">
        <v>122</v>
      </c>
      <c r="M12" s="17" t="s">
        <v>54</v>
      </c>
      <c r="N12" s="17" t="s">
        <v>32</v>
      </c>
      <c r="O12" s="38" t="s">
        <v>247</v>
      </c>
      <c r="P12" s="38">
        <v>2026</v>
      </c>
    </row>
    <row r="13" spans="1:16" ht="15.5" x14ac:dyDescent="0.35">
      <c r="A13" s="17">
        <v>2</v>
      </c>
      <c r="B13" s="33"/>
      <c r="C13" s="5"/>
      <c r="D13" s="24" t="s">
        <v>167</v>
      </c>
      <c r="E13" s="7" t="s">
        <v>27</v>
      </c>
      <c r="F13" s="19" t="s">
        <v>28</v>
      </c>
      <c r="G13" s="34" t="s">
        <v>175</v>
      </c>
      <c r="H13" s="17" t="s">
        <v>29</v>
      </c>
      <c r="I13" s="39" t="s">
        <v>176</v>
      </c>
      <c r="J13" s="17" t="s">
        <v>54</v>
      </c>
      <c r="K13" s="17" t="s">
        <v>39</v>
      </c>
      <c r="L13" s="39" t="s">
        <v>177</v>
      </c>
      <c r="M13" s="17" t="s">
        <v>54</v>
      </c>
      <c r="N13" s="17" t="s">
        <v>32</v>
      </c>
      <c r="O13" s="38" t="s">
        <v>247</v>
      </c>
      <c r="P13" s="38">
        <v>2026</v>
      </c>
    </row>
    <row r="14" spans="1:16" ht="15.5" x14ac:dyDescent="0.35">
      <c r="A14" s="17">
        <v>3</v>
      </c>
      <c r="B14" s="33"/>
      <c r="C14" s="5"/>
      <c r="D14" s="24" t="s">
        <v>68</v>
      </c>
      <c r="E14" s="7" t="s">
        <v>34</v>
      </c>
      <c r="F14" s="19" t="s">
        <v>35</v>
      </c>
      <c r="G14" s="34" t="s">
        <v>69</v>
      </c>
      <c r="H14" s="17" t="s">
        <v>29</v>
      </c>
      <c r="I14" s="39" t="s">
        <v>70</v>
      </c>
      <c r="J14" s="17" t="s">
        <v>30</v>
      </c>
      <c r="K14" s="17" t="s">
        <v>31</v>
      </c>
      <c r="L14" s="39" t="s">
        <v>71</v>
      </c>
      <c r="M14" s="17" t="s">
        <v>36</v>
      </c>
      <c r="N14" s="17" t="s">
        <v>32</v>
      </c>
      <c r="O14" s="38" t="s">
        <v>247</v>
      </c>
      <c r="P14" s="38">
        <v>2026</v>
      </c>
    </row>
    <row r="15" spans="1:16" ht="15.5" x14ac:dyDescent="0.35">
      <c r="A15" s="17">
        <v>4</v>
      </c>
      <c r="B15" s="33"/>
      <c r="C15" s="5"/>
      <c r="D15" s="27" t="s">
        <v>123</v>
      </c>
      <c r="E15" s="7" t="s">
        <v>27</v>
      </c>
      <c r="F15" s="19" t="s">
        <v>35</v>
      </c>
      <c r="G15" s="10" t="s">
        <v>124</v>
      </c>
      <c r="H15" s="17" t="s">
        <v>29</v>
      </c>
      <c r="I15" s="39" t="s">
        <v>125</v>
      </c>
      <c r="J15" s="17" t="s">
        <v>38</v>
      </c>
      <c r="K15" s="17" t="s">
        <v>126</v>
      </c>
      <c r="L15" s="39" t="s">
        <v>127</v>
      </c>
      <c r="M15" s="17" t="s">
        <v>128</v>
      </c>
      <c r="N15" s="17" t="s">
        <v>32</v>
      </c>
      <c r="O15" s="38" t="s">
        <v>247</v>
      </c>
      <c r="P15" s="38">
        <v>2026</v>
      </c>
    </row>
    <row r="16" spans="1:16" ht="15.5" x14ac:dyDescent="0.35">
      <c r="A16" s="17">
        <v>5</v>
      </c>
      <c r="B16" s="33"/>
      <c r="C16" s="5"/>
      <c r="D16" s="24" t="s">
        <v>94</v>
      </c>
      <c r="E16" s="7" t="s">
        <v>27</v>
      </c>
      <c r="F16" s="19" t="s">
        <v>35</v>
      </c>
      <c r="G16" s="34">
        <v>44506</v>
      </c>
      <c r="H16" s="17" t="s">
        <v>29</v>
      </c>
      <c r="I16" s="39" t="s">
        <v>95</v>
      </c>
      <c r="J16" s="17" t="s">
        <v>38</v>
      </c>
      <c r="K16" s="17" t="s">
        <v>31</v>
      </c>
      <c r="L16" s="39" t="s">
        <v>96</v>
      </c>
      <c r="M16" s="17" t="s">
        <v>38</v>
      </c>
      <c r="N16" s="17" t="s">
        <v>32</v>
      </c>
      <c r="O16" s="38" t="s">
        <v>247</v>
      </c>
      <c r="P16" s="38">
        <v>2026</v>
      </c>
    </row>
    <row r="17" spans="1:16" ht="15.5" x14ac:dyDescent="0.35">
      <c r="A17" s="17">
        <v>6</v>
      </c>
      <c r="B17" s="33"/>
      <c r="C17" s="5"/>
      <c r="D17" s="28" t="s">
        <v>168</v>
      </c>
      <c r="E17" s="29" t="s">
        <v>27</v>
      </c>
      <c r="F17" s="30" t="s">
        <v>35</v>
      </c>
      <c r="G17" s="35" t="s">
        <v>220</v>
      </c>
      <c r="H17" s="31" t="s">
        <v>221</v>
      </c>
      <c r="I17" s="40" t="s">
        <v>222</v>
      </c>
      <c r="J17" s="31" t="s">
        <v>30</v>
      </c>
      <c r="K17" s="31" t="s">
        <v>31</v>
      </c>
      <c r="L17" s="40" t="s">
        <v>163</v>
      </c>
      <c r="M17" s="31" t="s">
        <v>30</v>
      </c>
      <c r="N17" s="31" t="s">
        <v>32</v>
      </c>
      <c r="O17" s="38" t="s">
        <v>247</v>
      </c>
      <c r="P17" s="38">
        <v>2026</v>
      </c>
    </row>
    <row r="18" spans="1:16" ht="15.5" x14ac:dyDescent="0.35">
      <c r="A18" s="17">
        <v>7</v>
      </c>
      <c r="B18" s="33"/>
      <c r="C18" s="5"/>
      <c r="D18" s="24" t="s">
        <v>169</v>
      </c>
      <c r="E18" s="7" t="s">
        <v>27</v>
      </c>
      <c r="F18" s="19" t="s">
        <v>35</v>
      </c>
      <c r="G18" s="34" t="s">
        <v>223</v>
      </c>
      <c r="H18" s="17" t="s">
        <v>29</v>
      </c>
      <c r="I18" s="39" t="s">
        <v>224</v>
      </c>
      <c r="J18" s="17" t="s">
        <v>36</v>
      </c>
      <c r="K18" s="17" t="s">
        <v>31</v>
      </c>
      <c r="L18" s="39" t="s">
        <v>225</v>
      </c>
      <c r="M18" s="17" t="s">
        <v>128</v>
      </c>
      <c r="N18" s="17" t="s">
        <v>32</v>
      </c>
      <c r="O18" s="38" t="s">
        <v>247</v>
      </c>
      <c r="P18" s="38">
        <v>2026</v>
      </c>
    </row>
    <row r="19" spans="1:16" ht="15.5" x14ac:dyDescent="0.35">
      <c r="A19" s="17">
        <v>8</v>
      </c>
      <c r="B19" s="33"/>
      <c r="C19" s="5"/>
      <c r="D19" s="28" t="s">
        <v>170</v>
      </c>
      <c r="E19" s="29" t="s">
        <v>27</v>
      </c>
      <c r="F19" s="30" t="s">
        <v>199</v>
      </c>
      <c r="G19" s="38" t="s">
        <v>200</v>
      </c>
      <c r="H19" s="31" t="s">
        <v>29</v>
      </c>
      <c r="I19" s="40" t="s">
        <v>201</v>
      </c>
      <c r="J19" s="31" t="s">
        <v>37</v>
      </c>
      <c r="K19" s="31" t="s">
        <v>43</v>
      </c>
      <c r="L19" s="40" t="s">
        <v>202</v>
      </c>
      <c r="M19" s="31" t="s">
        <v>37</v>
      </c>
      <c r="N19" s="31" t="s">
        <v>32</v>
      </c>
      <c r="O19" s="38" t="s">
        <v>247</v>
      </c>
      <c r="P19" s="38">
        <v>2026</v>
      </c>
    </row>
    <row r="20" spans="1:16" ht="15.5" x14ac:dyDescent="0.35">
      <c r="A20" s="17">
        <v>9</v>
      </c>
      <c r="B20" s="33"/>
      <c r="C20" s="5"/>
      <c r="D20" s="24" t="s">
        <v>171</v>
      </c>
      <c r="E20" s="7" t="s">
        <v>27</v>
      </c>
      <c r="F20" s="19" t="s">
        <v>35</v>
      </c>
      <c r="G20" s="34" t="s">
        <v>196</v>
      </c>
      <c r="H20" s="17" t="s">
        <v>29</v>
      </c>
      <c r="I20" s="39" t="s">
        <v>197</v>
      </c>
      <c r="J20" s="17" t="s">
        <v>36</v>
      </c>
      <c r="K20" s="17" t="s">
        <v>39</v>
      </c>
      <c r="L20" s="39" t="s">
        <v>198</v>
      </c>
      <c r="M20" s="17" t="s">
        <v>36</v>
      </c>
      <c r="N20" s="17" t="s">
        <v>32</v>
      </c>
      <c r="O20" s="38" t="s">
        <v>247</v>
      </c>
      <c r="P20" s="38">
        <v>2026</v>
      </c>
    </row>
    <row r="21" spans="1:16" ht="15.5" x14ac:dyDescent="0.35">
      <c r="A21" s="17">
        <v>10</v>
      </c>
      <c r="B21" s="33"/>
      <c r="C21" s="5"/>
      <c r="D21" s="16" t="s">
        <v>56</v>
      </c>
      <c r="E21" s="17" t="s">
        <v>34</v>
      </c>
      <c r="F21" s="6" t="s">
        <v>35</v>
      </c>
      <c r="G21" s="36">
        <v>44533</v>
      </c>
      <c r="H21" s="17" t="s">
        <v>52</v>
      </c>
      <c r="I21" s="39" t="s">
        <v>53</v>
      </c>
      <c r="J21" s="17" t="s">
        <v>54</v>
      </c>
      <c r="K21" s="17" t="s">
        <v>39</v>
      </c>
      <c r="L21" s="39" t="s">
        <v>55</v>
      </c>
      <c r="M21" s="17" t="s">
        <v>30</v>
      </c>
      <c r="N21" s="17" t="s">
        <v>32</v>
      </c>
      <c r="O21" s="38" t="s">
        <v>247</v>
      </c>
      <c r="P21" s="38">
        <v>2026</v>
      </c>
    </row>
    <row r="22" spans="1:16" ht="15.5" x14ac:dyDescent="0.35">
      <c r="A22" s="17">
        <v>11</v>
      </c>
      <c r="B22" s="33"/>
      <c r="C22" s="5"/>
      <c r="D22" s="28" t="s">
        <v>172</v>
      </c>
      <c r="E22" s="29" t="s">
        <v>34</v>
      </c>
      <c r="F22" s="30" t="s">
        <v>35</v>
      </c>
      <c r="G22" s="38" t="s">
        <v>205</v>
      </c>
      <c r="H22" s="31" t="s">
        <v>29</v>
      </c>
      <c r="I22" s="40" t="s">
        <v>206</v>
      </c>
      <c r="J22" s="31" t="s">
        <v>54</v>
      </c>
      <c r="K22" s="31" t="s">
        <v>31</v>
      </c>
      <c r="L22" s="40" t="s">
        <v>207</v>
      </c>
      <c r="M22" s="31" t="s">
        <v>36</v>
      </c>
      <c r="N22" s="31" t="s">
        <v>32</v>
      </c>
      <c r="O22" s="38" t="s">
        <v>247</v>
      </c>
      <c r="P22" s="38">
        <v>2026</v>
      </c>
    </row>
    <row r="23" spans="1:16" ht="15.5" x14ac:dyDescent="0.35">
      <c r="A23" s="17">
        <v>12</v>
      </c>
      <c r="B23" s="33"/>
      <c r="C23" s="5"/>
      <c r="D23" s="28" t="s">
        <v>173</v>
      </c>
      <c r="E23" s="38" t="s">
        <v>34</v>
      </c>
      <c r="F23" s="16"/>
      <c r="G23" s="38"/>
      <c r="H23" s="16"/>
      <c r="I23" s="37"/>
      <c r="J23" s="16"/>
      <c r="K23" s="16"/>
      <c r="L23" s="37"/>
      <c r="M23" s="16"/>
      <c r="N23" s="16"/>
      <c r="O23" s="38" t="s">
        <v>247</v>
      </c>
      <c r="P23" s="38">
        <v>2026</v>
      </c>
    </row>
    <row r="24" spans="1:16" ht="15.5" x14ac:dyDescent="0.35">
      <c r="A24" s="17">
        <v>13</v>
      </c>
      <c r="B24" s="33"/>
      <c r="C24" s="5"/>
      <c r="D24" s="24" t="s">
        <v>91</v>
      </c>
      <c r="E24" s="7" t="s">
        <v>34</v>
      </c>
      <c r="F24" s="19" t="s">
        <v>35</v>
      </c>
      <c r="G24" s="34">
        <v>44290</v>
      </c>
      <c r="H24" s="17" t="s">
        <v>29</v>
      </c>
      <c r="I24" s="39" t="s">
        <v>92</v>
      </c>
      <c r="J24" s="17" t="s">
        <v>30</v>
      </c>
      <c r="K24" s="17" t="s">
        <v>31</v>
      </c>
      <c r="L24" s="39" t="s">
        <v>93</v>
      </c>
      <c r="M24" s="17" t="s">
        <v>30</v>
      </c>
      <c r="N24" s="17" t="s">
        <v>32</v>
      </c>
      <c r="O24" s="38" t="s">
        <v>247</v>
      </c>
      <c r="P24" s="38">
        <v>2026</v>
      </c>
    </row>
    <row r="25" spans="1:16" ht="15.5" x14ac:dyDescent="0.35">
      <c r="A25" s="17">
        <v>14</v>
      </c>
      <c r="B25" s="33"/>
      <c r="C25" s="5"/>
      <c r="D25" s="16" t="s">
        <v>164</v>
      </c>
      <c r="E25" s="38" t="s">
        <v>34</v>
      </c>
      <c r="F25" s="16" t="s">
        <v>35</v>
      </c>
      <c r="G25" s="38" t="s">
        <v>115</v>
      </c>
      <c r="H25" s="16" t="s">
        <v>29</v>
      </c>
      <c r="I25" s="37" t="s">
        <v>165</v>
      </c>
      <c r="J25" s="16" t="s">
        <v>36</v>
      </c>
      <c r="K25" s="16" t="s">
        <v>31</v>
      </c>
      <c r="L25" s="37" t="s">
        <v>166</v>
      </c>
      <c r="M25" s="16" t="s">
        <v>54</v>
      </c>
      <c r="N25" s="16" t="s">
        <v>32</v>
      </c>
      <c r="O25" s="38" t="s">
        <v>247</v>
      </c>
      <c r="P25" s="38">
        <v>2026</v>
      </c>
    </row>
    <row r="26" spans="1:16" ht="15.5" x14ac:dyDescent="0.35">
      <c r="A26" s="17">
        <v>15</v>
      </c>
      <c r="B26" s="33"/>
      <c r="C26" s="5"/>
      <c r="D26" s="16" t="s">
        <v>79</v>
      </c>
      <c r="E26" s="17" t="s">
        <v>34</v>
      </c>
      <c r="F26" s="6" t="s">
        <v>35</v>
      </c>
      <c r="G26" s="36" t="s">
        <v>80</v>
      </c>
      <c r="H26" s="17" t="s">
        <v>29</v>
      </c>
      <c r="I26" s="39" t="s">
        <v>81</v>
      </c>
      <c r="J26" s="17" t="s">
        <v>30</v>
      </c>
      <c r="K26" s="17" t="s">
        <v>31</v>
      </c>
      <c r="L26" s="39" t="s">
        <v>82</v>
      </c>
      <c r="M26" s="17" t="s">
        <v>36</v>
      </c>
      <c r="N26" s="17" t="s">
        <v>32</v>
      </c>
      <c r="O26" s="38" t="s">
        <v>247</v>
      </c>
      <c r="P26" s="38">
        <v>2026</v>
      </c>
    </row>
    <row r="27" spans="1:16" ht="15.5" x14ac:dyDescent="0.35">
      <c r="A27" s="17">
        <v>16</v>
      </c>
      <c r="B27" s="33"/>
      <c r="C27" s="5"/>
      <c r="D27" s="24" t="s">
        <v>174</v>
      </c>
      <c r="E27" s="7" t="s">
        <v>34</v>
      </c>
      <c r="F27" s="19"/>
      <c r="G27" s="34"/>
      <c r="H27" s="17"/>
      <c r="I27" s="39"/>
      <c r="J27" s="17"/>
      <c r="K27" s="17"/>
      <c r="L27" s="39"/>
      <c r="M27" s="17"/>
      <c r="N27" s="17"/>
      <c r="O27" s="38" t="s">
        <v>247</v>
      </c>
      <c r="P27" s="38">
        <v>2026</v>
      </c>
    </row>
    <row r="28" spans="1:16" ht="15.5" x14ac:dyDescent="0.35">
      <c r="A28" s="17">
        <v>17</v>
      </c>
      <c r="B28" s="33"/>
      <c r="C28" s="5"/>
      <c r="D28" s="24" t="s">
        <v>72</v>
      </c>
      <c r="E28" s="7" t="s">
        <v>34</v>
      </c>
      <c r="F28" s="19" t="s">
        <v>28</v>
      </c>
      <c r="G28" s="34">
        <v>44505</v>
      </c>
      <c r="H28" s="17" t="s">
        <v>29</v>
      </c>
      <c r="I28" s="39" t="s">
        <v>73</v>
      </c>
      <c r="J28" s="17" t="s">
        <v>37</v>
      </c>
      <c r="K28" s="17" t="s">
        <v>40</v>
      </c>
      <c r="L28" s="39" t="s">
        <v>74</v>
      </c>
      <c r="M28" s="17" t="s">
        <v>37</v>
      </c>
      <c r="N28" s="17" t="s">
        <v>32</v>
      </c>
      <c r="O28" s="38" t="s">
        <v>247</v>
      </c>
      <c r="P28" s="38">
        <v>2026</v>
      </c>
    </row>
    <row r="29" spans="1:16" ht="15.5" x14ac:dyDescent="0.35">
      <c r="A29" s="17">
        <v>18</v>
      </c>
      <c r="B29" s="33"/>
      <c r="C29" s="5"/>
      <c r="D29" s="28" t="s">
        <v>219</v>
      </c>
      <c r="E29" s="38" t="s">
        <v>34</v>
      </c>
      <c r="F29" s="16" t="s">
        <v>28</v>
      </c>
      <c r="G29" s="38" t="s">
        <v>253</v>
      </c>
      <c r="H29" s="16" t="s">
        <v>29</v>
      </c>
      <c r="I29" s="37" t="s">
        <v>254</v>
      </c>
      <c r="J29" s="16" t="s">
        <v>54</v>
      </c>
      <c r="K29" s="16" t="s">
        <v>31</v>
      </c>
      <c r="L29" s="37" t="s">
        <v>255</v>
      </c>
      <c r="M29" s="16" t="s">
        <v>54</v>
      </c>
      <c r="N29" s="16" t="s">
        <v>31</v>
      </c>
      <c r="O29" s="38" t="s">
        <v>247</v>
      </c>
      <c r="P29" s="38">
        <v>2026</v>
      </c>
    </row>
    <row r="30" spans="1:16" ht="15.5" x14ac:dyDescent="0.35">
      <c r="A30" s="17">
        <v>19</v>
      </c>
      <c r="B30" s="33"/>
      <c r="C30" s="5"/>
      <c r="D30" s="24" t="s">
        <v>114</v>
      </c>
      <c r="E30" s="7" t="s">
        <v>27</v>
      </c>
      <c r="F30" s="19" t="s">
        <v>35</v>
      </c>
      <c r="G30" s="34" t="s">
        <v>115</v>
      </c>
      <c r="H30" s="17" t="s">
        <v>29</v>
      </c>
      <c r="I30" s="39" t="s">
        <v>116</v>
      </c>
      <c r="J30" s="17" t="s">
        <v>30</v>
      </c>
      <c r="K30" s="17" t="s">
        <v>31</v>
      </c>
      <c r="L30" s="39" t="s">
        <v>117</v>
      </c>
      <c r="M30" s="17" t="s">
        <v>36</v>
      </c>
      <c r="N30" s="17" t="s">
        <v>32</v>
      </c>
      <c r="O30" s="38" t="s">
        <v>247</v>
      </c>
      <c r="P30" s="38">
        <v>2026</v>
      </c>
    </row>
    <row r="31" spans="1:16" ht="15.5" x14ac:dyDescent="0.35">
      <c r="A31" s="17">
        <v>20</v>
      </c>
      <c r="B31" s="8"/>
      <c r="C31" s="5"/>
      <c r="D31" s="28" t="s">
        <v>215</v>
      </c>
      <c r="E31" s="29" t="s">
        <v>27</v>
      </c>
      <c r="F31" s="30" t="s">
        <v>35</v>
      </c>
      <c r="G31" s="38" t="s">
        <v>216</v>
      </c>
      <c r="H31" s="31" t="s">
        <v>29</v>
      </c>
      <c r="I31" s="40" t="s">
        <v>217</v>
      </c>
      <c r="J31" s="31" t="s">
        <v>38</v>
      </c>
      <c r="K31" s="31" t="s">
        <v>31</v>
      </c>
      <c r="L31" s="40" t="s">
        <v>218</v>
      </c>
      <c r="M31" s="31" t="s">
        <v>30</v>
      </c>
      <c r="N31" s="31" t="s">
        <v>32</v>
      </c>
      <c r="O31" s="38" t="s">
        <v>247</v>
      </c>
      <c r="P31" s="38">
        <v>2026</v>
      </c>
    </row>
    <row r="32" spans="1:16" ht="15.5" x14ac:dyDescent="0.35">
      <c r="A32" s="17">
        <v>21</v>
      </c>
      <c r="B32" s="8"/>
      <c r="C32" s="5"/>
      <c r="D32" s="24" t="s">
        <v>108</v>
      </c>
      <c r="E32" s="7" t="s">
        <v>34</v>
      </c>
      <c r="F32" s="19" t="s">
        <v>28</v>
      </c>
      <c r="G32" s="34">
        <v>44353</v>
      </c>
      <c r="H32" s="17" t="s">
        <v>29</v>
      </c>
      <c r="I32" s="39" t="s">
        <v>109</v>
      </c>
      <c r="J32" s="17" t="s">
        <v>36</v>
      </c>
      <c r="K32" s="17" t="s">
        <v>31</v>
      </c>
      <c r="L32" s="39" t="s">
        <v>110</v>
      </c>
      <c r="M32" s="17" t="s">
        <v>30</v>
      </c>
      <c r="N32" s="17" t="s">
        <v>32</v>
      </c>
      <c r="O32" s="38" t="s">
        <v>247</v>
      </c>
      <c r="P32" s="38">
        <v>2026</v>
      </c>
    </row>
    <row r="33" spans="1:16" ht="15.5" x14ac:dyDescent="0.35">
      <c r="A33" s="17">
        <v>22</v>
      </c>
      <c r="B33" s="8"/>
      <c r="C33" s="5"/>
      <c r="D33" s="24" t="s">
        <v>102</v>
      </c>
      <c r="E33" s="7" t="s">
        <v>27</v>
      </c>
      <c r="F33" s="19" t="s">
        <v>28</v>
      </c>
      <c r="G33" s="34" t="s">
        <v>103</v>
      </c>
      <c r="H33" s="17" t="s">
        <v>29</v>
      </c>
      <c r="I33" s="39" t="s">
        <v>104</v>
      </c>
      <c r="J33" s="17" t="s">
        <v>105</v>
      </c>
      <c r="K33" s="17" t="s">
        <v>106</v>
      </c>
      <c r="L33" s="39" t="s">
        <v>107</v>
      </c>
      <c r="M33" s="17" t="s">
        <v>38</v>
      </c>
      <c r="N33" s="17" t="s">
        <v>32</v>
      </c>
      <c r="O33" s="38" t="s">
        <v>247</v>
      </c>
      <c r="P33" s="38">
        <v>2026</v>
      </c>
    </row>
    <row r="34" spans="1:16" ht="15.5" x14ac:dyDescent="0.35">
      <c r="A34" s="17">
        <v>23</v>
      </c>
      <c r="B34" s="8"/>
      <c r="C34" s="5"/>
      <c r="D34" s="32" t="s">
        <v>192</v>
      </c>
      <c r="E34" s="7" t="s">
        <v>27</v>
      </c>
      <c r="F34" s="19" t="s">
        <v>35</v>
      </c>
      <c r="G34" s="10" t="s">
        <v>193</v>
      </c>
      <c r="H34" s="17" t="s">
        <v>29</v>
      </c>
      <c r="I34" s="39" t="s">
        <v>194</v>
      </c>
      <c r="J34" s="17" t="s">
        <v>30</v>
      </c>
      <c r="K34" s="17" t="s">
        <v>39</v>
      </c>
      <c r="L34" s="39" t="s">
        <v>195</v>
      </c>
      <c r="M34" s="17" t="s">
        <v>30</v>
      </c>
      <c r="N34" s="17" t="s">
        <v>32</v>
      </c>
      <c r="O34" s="38" t="s">
        <v>247</v>
      </c>
      <c r="P34" s="38">
        <v>2026</v>
      </c>
    </row>
    <row r="35" spans="1:16" ht="15.5" x14ac:dyDescent="0.35">
      <c r="A35" s="17">
        <v>24</v>
      </c>
      <c r="B35" s="8"/>
      <c r="C35" s="5"/>
      <c r="D35" s="32" t="s">
        <v>212</v>
      </c>
      <c r="E35" s="7" t="s">
        <v>27</v>
      </c>
      <c r="F35" s="19" t="s">
        <v>35</v>
      </c>
      <c r="G35" s="10">
        <v>44384</v>
      </c>
      <c r="H35" s="17" t="s">
        <v>29</v>
      </c>
      <c r="I35" s="39" t="s">
        <v>213</v>
      </c>
      <c r="J35" s="17" t="s">
        <v>36</v>
      </c>
      <c r="K35" s="17" t="s">
        <v>31</v>
      </c>
      <c r="L35" s="39" t="s">
        <v>214</v>
      </c>
      <c r="M35" s="17" t="s">
        <v>36</v>
      </c>
      <c r="N35" s="17" t="s">
        <v>32</v>
      </c>
      <c r="O35" s="38" t="s">
        <v>247</v>
      </c>
      <c r="P35" s="38">
        <v>2026</v>
      </c>
    </row>
    <row r="36" spans="1:16" ht="15.5" x14ac:dyDescent="0.35">
      <c r="A36" s="1"/>
      <c r="B36" s="18"/>
      <c r="C36" s="1"/>
      <c r="D36" s="1"/>
      <c r="E36" s="1"/>
      <c r="F36" s="2"/>
      <c r="G36" s="18"/>
      <c r="H36" s="1"/>
      <c r="I36" s="18"/>
      <c r="J36" s="1"/>
      <c r="K36" s="1"/>
      <c r="L36" s="1"/>
      <c r="M36" s="1"/>
      <c r="N36" s="1"/>
      <c r="O36" s="1"/>
      <c r="P36" s="9"/>
    </row>
    <row r="37" spans="1:16" ht="15.5" x14ac:dyDescent="0.35">
      <c r="A37" s="1"/>
      <c r="B37" s="12" t="s">
        <v>44</v>
      </c>
      <c r="C37" s="1"/>
      <c r="D37" s="1"/>
      <c r="E37" s="1"/>
      <c r="F37" s="2"/>
      <c r="G37" s="18"/>
      <c r="H37" s="1"/>
      <c r="I37" s="18"/>
      <c r="J37" s="1"/>
      <c r="K37" s="1"/>
      <c r="L37" s="1"/>
      <c r="M37" s="1"/>
      <c r="N37" s="1"/>
      <c r="O37" s="1"/>
      <c r="P37" s="13"/>
    </row>
    <row r="38" spans="1:16" ht="15.5" x14ac:dyDescent="0.35">
      <c r="A38" s="1"/>
      <c r="B38" s="18" t="s">
        <v>34</v>
      </c>
      <c r="C38" s="1">
        <v>11</v>
      </c>
      <c r="D38" s="1"/>
      <c r="E38" s="1"/>
      <c r="F38" s="2"/>
      <c r="G38" s="18"/>
      <c r="H38" s="1"/>
      <c r="I38" s="18"/>
      <c r="J38" s="1"/>
      <c r="K38" s="1"/>
      <c r="L38" s="1"/>
      <c r="M38" s="1"/>
      <c r="N38" s="1"/>
      <c r="O38" s="1"/>
      <c r="P38" s="13"/>
    </row>
    <row r="39" spans="1:16" ht="15.5" x14ac:dyDescent="0.35">
      <c r="A39" s="1"/>
      <c r="B39" s="18" t="s">
        <v>45</v>
      </c>
      <c r="C39" s="1">
        <f>COUNTIF($E$12:$E$35, "P")</f>
        <v>13</v>
      </c>
      <c r="D39" s="1"/>
      <c r="E39" s="1"/>
      <c r="F39" s="2"/>
      <c r="G39" s="18"/>
      <c r="H39" s="1"/>
      <c r="I39" s="18"/>
      <c r="J39" s="1"/>
      <c r="K39" s="1"/>
      <c r="L39" s="1"/>
      <c r="M39" s="1"/>
      <c r="N39" s="1"/>
      <c r="O39" s="13" t="s">
        <v>46</v>
      </c>
      <c r="P39" s="9"/>
    </row>
    <row r="40" spans="1:16" ht="15.5" x14ac:dyDescent="0.35">
      <c r="A40" s="1"/>
      <c r="B40" s="18" t="s">
        <v>47</v>
      </c>
      <c r="C40" s="1">
        <f>C38+C39</f>
        <v>24</v>
      </c>
      <c r="D40" s="1"/>
      <c r="E40" s="1"/>
      <c r="F40" s="2"/>
      <c r="G40" s="18"/>
      <c r="H40" s="1"/>
      <c r="I40" s="18"/>
      <c r="J40" s="1"/>
      <c r="K40" s="1"/>
      <c r="L40" s="1"/>
      <c r="M40" s="1"/>
      <c r="N40" s="1"/>
      <c r="O40" s="1" t="s">
        <v>48</v>
      </c>
      <c r="P40" s="13"/>
    </row>
    <row r="41" spans="1:16" ht="15.5" x14ac:dyDescent="0.35">
      <c r="A41" s="1"/>
      <c r="B41" s="1"/>
      <c r="C41" s="1"/>
      <c r="D41" s="1"/>
      <c r="E41" s="1"/>
      <c r="F41" s="2"/>
      <c r="G41" s="18"/>
      <c r="H41" s="1"/>
      <c r="I41" s="18"/>
      <c r="J41" s="1"/>
      <c r="K41" s="1"/>
      <c r="L41" s="1"/>
      <c r="M41" s="1"/>
      <c r="N41" s="1"/>
      <c r="O41" s="13"/>
      <c r="P41" s="13"/>
    </row>
    <row r="42" spans="1:16" ht="15.5" x14ac:dyDescent="0.35">
      <c r="A42" s="1"/>
      <c r="B42" s="1"/>
      <c r="C42" s="1"/>
      <c r="D42" s="1"/>
      <c r="E42" s="1"/>
      <c r="F42" s="2"/>
      <c r="G42" s="18"/>
      <c r="H42" s="1"/>
      <c r="I42" s="18"/>
      <c r="J42" s="1"/>
      <c r="K42" s="1"/>
      <c r="L42" s="1"/>
      <c r="M42" s="1"/>
      <c r="N42" s="1"/>
      <c r="O42" s="13"/>
      <c r="P42" s="13"/>
    </row>
    <row r="43" spans="1:16" ht="15.5" x14ac:dyDescent="0.35">
      <c r="A43" s="1"/>
      <c r="B43" s="1"/>
      <c r="C43" s="1"/>
      <c r="D43" s="1"/>
      <c r="E43" s="1"/>
      <c r="F43" s="2"/>
      <c r="G43" s="18"/>
      <c r="H43" s="1"/>
      <c r="I43" s="18"/>
      <c r="J43" s="1"/>
      <c r="K43" s="1"/>
      <c r="L43" s="1"/>
      <c r="M43" s="1"/>
      <c r="N43" s="1"/>
      <c r="O43" s="13"/>
      <c r="P43" s="13"/>
    </row>
    <row r="44" spans="1:16" ht="15.5" x14ac:dyDescent="0.35">
      <c r="A44" s="9"/>
      <c r="B44" s="9"/>
      <c r="C44" s="9"/>
      <c r="D44" s="9"/>
      <c r="E44" s="9"/>
      <c r="F44" s="2"/>
      <c r="G44" s="14"/>
      <c r="H44" s="9"/>
      <c r="I44" s="14"/>
      <c r="J44" s="9"/>
      <c r="K44" s="9"/>
      <c r="L44" s="9"/>
      <c r="M44" s="9"/>
      <c r="N44" s="9"/>
      <c r="O44" s="15" t="s">
        <v>49</v>
      </c>
      <c r="P44" s="9"/>
    </row>
    <row r="45" spans="1:16" ht="15.5" x14ac:dyDescent="0.35">
      <c r="A45" s="9"/>
      <c r="B45" s="9"/>
      <c r="C45" s="9"/>
      <c r="D45" s="9"/>
      <c r="E45" s="9"/>
      <c r="F45" s="2"/>
      <c r="G45" s="14"/>
      <c r="H45" s="9"/>
      <c r="I45" s="14"/>
      <c r="J45" s="9"/>
      <c r="K45" s="9"/>
      <c r="L45" s="9"/>
      <c r="M45" s="9"/>
      <c r="N45" s="9"/>
      <c r="O45" s="1" t="s">
        <v>50</v>
      </c>
      <c r="P45" s="13"/>
    </row>
  </sheetData>
  <sortState xmlns:xlrd2="http://schemas.microsoft.com/office/spreadsheetml/2017/richdata2" ref="D13:P31">
    <sortCondition ref="D12:D31"/>
  </sortState>
  <mergeCells count="10">
    <mergeCell ref="A1:P1"/>
    <mergeCell ref="A2:P2"/>
    <mergeCell ref="A9:A10"/>
    <mergeCell ref="B9:C9"/>
    <mergeCell ref="D9:D10"/>
    <mergeCell ref="E9:E10"/>
    <mergeCell ref="F9:G9"/>
    <mergeCell ref="H9:H10"/>
    <mergeCell ref="I9:N9"/>
    <mergeCell ref="O9:P9"/>
  </mergeCells>
  <conditionalFormatting sqref="B13:B18 B20:B35">
    <cfRule type="duplicateValues" dxfId="1" priority="1" stopIfTrue="1"/>
  </conditionalFormatting>
  <dataValidations count="3">
    <dataValidation allowBlank="1" showInputMessage="1" showErrorMessage="1" prompt="Nomor Induk Siswa" sqref="B13:B18 B20:B35" xr:uid="{8FF011FC-B73F-4374-A4FE-C4A1A629881D}"/>
    <dataValidation allowBlank="1" showInputMessage="1" showErrorMessage="1" prompt="(yyyy-mm-dd)_x000a_1996-05-18" sqref="G12:G15 G18 G20:G21 G32:G35 G30 G24 G26:G28" xr:uid="{3D1B03CA-ABB2-4864-AE47-4B05180E91F8}"/>
    <dataValidation type="list" allowBlank="1" showDropDown="1" showInputMessage="1" showErrorMessage="1" error="Gunakan L = Laki-laki, P = Perempuan" prompt="L = Laki-laki_x000a_P = Perempuan" sqref="E12:E15 E18 E20:E21 E32:E35 E30 E24 E26:E28" xr:uid="{C4D69962-BAB4-459C-8E52-B2DB1A817101}">
      <formula1>"L, P,"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626FD-85BC-4F51-B6C4-280E53F4D548}">
  <dimension ref="A1:Q36"/>
  <sheetViews>
    <sheetView topLeftCell="A7" zoomScale="55" zoomScaleNormal="55" workbookViewId="0">
      <selection activeCell="N15" sqref="N15"/>
    </sheetView>
  </sheetViews>
  <sheetFormatPr defaultRowHeight="14.5" x14ac:dyDescent="0.35"/>
  <cols>
    <col min="4" max="4" width="33" bestFit="1" customWidth="1"/>
    <col min="6" max="6" width="15.36328125" customWidth="1"/>
    <col min="7" max="7" width="13.453125" bestFit="1" customWidth="1"/>
    <col min="8" max="8" width="8.54296875" bestFit="1" customWidth="1"/>
    <col min="9" max="9" width="18.08984375" bestFit="1" customWidth="1"/>
    <col min="12" max="12" width="20.08984375" bestFit="1" customWidth="1"/>
    <col min="14" max="14" width="14.54296875" bestFit="1" customWidth="1"/>
  </cols>
  <sheetData>
    <row r="1" spans="1:17" ht="15.5" x14ac:dyDescent="0.3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7" ht="15.5" x14ac:dyDescent="0.35">
      <c r="A2" s="22" t="s">
        <v>51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7" ht="15.5" x14ac:dyDescent="0.35">
      <c r="A3" s="1"/>
      <c r="B3" s="1"/>
      <c r="C3" s="1"/>
      <c r="D3" s="1"/>
      <c r="E3" s="1"/>
      <c r="F3" s="2"/>
      <c r="G3" s="18"/>
      <c r="H3" s="1"/>
      <c r="I3" s="18"/>
      <c r="J3" s="1"/>
      <c r="K3" s="1"/>
      <c r="L3" s="1"/>
      <c r="M3" s="1"/>
      <c r="N3" s="1"/>
      <c r="O3" s="1"/>
      <c r="P3" s="1"/>
    </row>
    <row r="4" spans="1:17" ht="15.5" x14ac:dyDescent="0.35">
      <c r="A4" s="1" t="s">
        <v>1</v>
      </c>
      <c r="B4" s="1"/>
      <c r="C4" s="1" t="s">
        <v>2</v>
      </c>
      <c r="D4" s="1"/>
      <c r="E4" s="1"/>
      <c r="F4" s="2"/>
      <c r="G4" s="18"/>
      <c r="H4" s="1"/>
      <c r="I4" s="18"/>
      <c r="J4" s="1"/>
      <c r="K4" s="1"/>
      <c r="L4" s="1"/>
      <c r="M4" s="1"/>
      <c r="N4" s="1"/>
      <c r="O4" s="1"/>
      <c r="P4" s="1"/>
    </row>
    <row r="5" spans="1:17" ht="15.5" x14ac:dyDescent="0.35">
      <c r="A5" s="1" t="s">
        <v>3</v>
      </c>
      <c r="B5" s="1"/>
      <c r="C5" s="4" t="s">
        <v>4</v>
      </c>
      <c r="D5" s="4"/>
      <c r="E5" s="1"/>
      <c r="F5" s="2"/>
      <c r="G5" s="18"/>
      <c r="H5" s="1"/>
      <c r="I5" s="18"/>
      <c r="J5" s="1"/>
      <c r="K5" s="1"/>
      <c r="L5" s="1"/>
      <c r="M5" s="1"/>
      <c r="N5" s="1"/>
      <c r="O5" s="1"/>
      <c r="P5" s="1"/>
    </row>
    <row r="6" spans="1:17" ht="15.5" x14ac:dyDescent="0.35">
      <c r="A6" s="1" t="s">
        <v>5</v>
      </c>
      <c r="B6" s="1"/>
      <c r="C6" s="1" t="s">
        <v>130</v>
      </c>
      <c r="D6" s="1"/>
      <c r="E6" s="1"/>
      <c r="F6" s="2"/>
      <c r="G6" s="18"/>
      <c r="H6" s="1"/>
      <c r="I6" s="18"/>
      <c r="J6" s="1"/>
      <c r="K6" s="1"/>
      <c r="L6" s="1"/>
      <c r="M6" s="1"/>
      <c r="N6" s="1"/>
      <c r="O6" s="1"/>
      <c r="P6" s="1"/>
    </row>
    <row r="7" spans="1:17" ht="15.5" x14ac:dyDescent="0.35">
      <c r="A7" s="1" t="s">
        <v>7</v>
      </c>
      <c r="B7" s="1"/>
      <c r="C7" s="1" t="s">
        <v>8</v>
      </c>
      <c r="D7" s="1"/>
      <c r="E7" s="1"/>
      <c r="F7" s="2"/>
      <c r="G7" s="18"/>
      <c r="H7" s="1"/>
      <c r="I7" s="18"/>
      <c r="J7" s="1"/>
      <c r="K7" s="1"/>
      <c r="L7" s="1"/>
      <c r="M7" s="1"/>
      <c r="N7" s="1"/>
      <c r="O7" s="1"/>
      <c r="P7" s="1"/>
    </row>
    <row r="8" spans="1:17" ht="15.5" x14ac:dyDescent="0.35">
      <c r="A8" s="1"/>
      <c r="B8" s="1"/>
      <c r="C8" s="1"/>
      <c r="D8" s="1"/>
      <c r="E8" s="1"/>
      <c r="F8" s="2"/>
      <c r="G8" s="18"/>
      <c r="H8" s="1"/>
      <c r="I8" s="18"/>
      <c r="J8" s="1"/>
      <c r="K8" s="1"/>
      <c r="L8" s="1"/>
      <c r="M8" s="1"/>
      <c r="N8" s="1"/>
      <c r="O8" s="1"/>
      <c r="P8" s="1"/>
    </row>
    <row r="9" spans="1:17" ht="15.5" x14ac:dyDescent="0.35">
      <c r="A9" s="21" t="s">
        <v>9</v>
      </c>
      <c r="B9" s="21" t="s">
        <v>10</v>
      </c>
      <c r="C9" s="21"/>
      <c r="D9" s="23" t="s">
        <v>11</v>
      </c>
      <c r="E9" s="21" t="s">
        <v>12</v>
      </c>
      <c r="F9" s="23" t="s">
        <v>13</v>
      </c>
      <c r="G9" s="23"/>
      <c r="H9" s="21" t="s">
        <v>14</v>
      </c>
      <c r="I9" s="21" t="s">
        <v>15</v>
      </c>
      <c r="J9" s="21"/>
      <c r="K9" s="21"/>
      <c r="L9" s="21"/>
      <c r="M9" s="21"/>
      <c r="N9" s="21"/>
      <c r="O9" s="21" t="s">
        <v>16</v>
      </c>
      <c r="P9" s="21"/>
    </row>
    <row r="10" spans="1:17" ht="15.5" x14ac:dyDescent="0.35">
      <c r="A10" s="21"/>
      <c r="B10" s="17" t="s">
        <v>17</v>
      </c>
      <c r="C10" s="17" t="s">
        <v>18</v>
      </c>
      <c r="D10" s="23"/>
      <c r="E10" s="21"/>
      <c r="F10" s="17" t="s">
        <v>19</v>
      </c>
      <c r="G10" s="17" t="s">
        <v>20</v>
      </c>
      <c r="H10" s="21"/>
      <c r="I10" s="17" t="s">
        <v>21</v>
      </c>
      <c r="J10" s="17" t="s">
        <v>22</v>
      </c>
      <c r="K10" s="17" t="s">
        <v>23</v>
      </c>
      <c r="L10" s="17" t="s">
        <v>24</v>
      </c>
      <c r="M10" s="17" t="s">
        <v>22</v>
      </c>
      <c r="N10" s="17" t="s">
        <v>23</v>
      </c>
      <c r="O10" s="17" t="s">
        <v>25</v>
      </c>
      <c r="P10" s="17" t="s">
        <v>26</v>
      </c>
    </row>
    <row r="11" spans="1:17" ht="15.5" x14ac:dyDescent="0.35">
      <c r="A11" s="17">
        <v>1</v>
      </c>
      <c r="B11" s="17">
        <f t="shared" ref="B11:K11" si="0">A11+1</f>
        <v>2</v>
      </c>
      <c r="C11" s="17">
        <f t="shared" si="0"/>
        <v>3</v>
      </c>
      <c r="D11" s="17">
        <f t="shared" si="0"/>
        <v>4</v>
      </c>
      <c r="E11" s="17">
        <f t="shared" si="0"/>
        <v>5</v>
      </c>
      <c r="F11" s="17">
        <f t="shared" si="0"/>
        <v>6</v>
      </c>
      <c r="G11" s="17">
        <f t="shared" si="0"/>
        <v>7</v>
      </c>
      <c r="H11" s="17">
        <f t="shared" si="0"/>
        <v>8</v>
      </c>
      <c r="I11" s="17">
        <f t="shared" si="0"/>
        <v>9</v>
      </c>
      <c r="J11" s="17">
        <f t="shared" si="0"/>
        <v>10</v>
      </c>
      <c r="K11" s="17">
        <f t="shared" si="0"/>
        <v>11</v>
      </c>
      <c r="L11" s="17">
        <v>12</v>
      </c>
      <c r="M11" s="17">
        <v>13</v>
      </c>
      <c r="N11" s="17">
        <v>14</v>
      </c>
      <c r="O11" s="17">
        <v>15</v>
      </c>
      <c r="P11" s="17">
        <v>16</v>
      </c>
    </row>
    <row r="12" spans="1:17" ht="15.5" x14ac:dyDescent="0.35">
      <c r="A12" s="17">
        <v>1</v>
      </c>
      <c r="B12" s="33"/>
      <c r="C12" s="5"/>
      <c r="D12" s="16" t="s">
        <v>185</v>
      </c>
      <c r="E12" s="17" t="s">
        <v>34</v>
      </c>
      <c r="F12" s="6" t="s">
        <v>35</v>
      </c>
      <c r="G12" s="36" t="s">
        <v>186</v>
      </c>
      <c r="H12" s="17" t="s">
        <v>29</v>
      </c>
      <c r="I12" s="39" t="s">
        <v>187</v>
      </c>
      <c r="J12" s="17" t="s">
        <v>105</v>
      </c>
      <c r="K12" s="17" t="s">
        <v>126</v>
      </c>
      <c r="L12" s="39" t="s">
        <v>188</v>
      </c>
      <c r="M12" s="17" t="s">
        <v>38</v>
      </c>
      <c r="N12" s="17" t="s">
        <v>32</v>
      </c>
      <c r="O12" s="11" t="s">
        <v>134</v>
      </c>
      <c r="P12" s="17">
        <v>2026</v>
      </c>
      <c r="Q12" s="26"/>
    </row>
    <row r="13" spans="1:17" ht="15.5" x14ac:dyDescent="0.35">
      <c r="A13" s="17">
        <v>2</v>
      </c>
      <c r="B13" s="33"/>
      <c r="C13" s="5"/>
      <c r="D13" s="24" t="s">
        <v>138</v>
      </c>
      <c r="E13" s="7" t="s">
        <v>27</v>
      </c>
      <c r="F13" s="6" t="s">
        <v>35</v>
      </c>
      <c r="G13" s="34" t="s">
        <v>248</v>
      </c>
      <c r="H13" s="17" t="s">
        <v>29</v>
      </c>
      <c r="I13" s="39" t="s">
        <v>241</v>
      </c>
      <c r="J13" s="17" t="s">
        <v>38</v>
      </c>
      <c r="K13" s="17" t="s">
        <v>126</v>
      </c>
      <c r="L13" s="39" t="s">
        <v>242</v>
      </c>
      <c r="M13" s="17" t="s">
        <v>38</v>
      </c>
      <c r="N13" s="17" t="s">
        <v>243</v>
      </c>
      <c r="O13" s="11" t="s">
        <v>134</v>
      </c>
      <c r="P13" s="17">
        <v>2026</v>
      </c>
      <c r="Q13" s="26"/>
    </row>
    <row r="14" spans="1:17" ht="15.5" x14ac:dyDescent="0.35">
      <c r="A14" s="17">
        <v>3</v>
      </c>
      <c r="B14" s="33"/>
      <c r="C14" s="5"/>
      <c r="D14" s="16" t="s">
        <v>249</v>
      </c>
      <c r="E14" s="7" t="s">
        <v>27</v>
      </c>
      <c r="F14" s="6" t="s">
        <v>35</v>
      </c>
      <c r="G14" s="36" t="s">
        <v>250</v>
      </c>
      <c r="H14" s="17" t="s">
        <v>29</v>
      </c>
      <c r="I14" s="39" t="s">
        <v>251</v>
      </c>
      <c r="J14" s="17" t="s">
        <v>38</v>
      </c>
      <c r="K14" s="17" t="s">
        <v>31</v>
      </c>
      <c r="L14" s="39" t="s">
        <v>252</v>
      </c>
      <c r="M14" s="17" t="s">
        <v>36</v>
      </c>
      <c r="N14" s="17" t="s">
        <v>32</v>
      </c>
      <c r="O14" s="11" t="s">
        <v>134</v>
      </c>
      <c r="P14" s="17">
        <v>2026</v>
      </c>
      <c r="Q14" s="26"/>
    </row>
    <row r="15" spans="1:17" ht="15.5" x14ac:dyDescent="0.35">
      <c r="A15" s="17">
        <v>4</v>
      </c>
      <c r="B15" s="33"/>
      <c r="C15" s="5"/>
      <c r="D15" s="24" t="s">
        <v>100</v>
      </c>
      <c r="E15" s="7" t="s">
        <v>34</v>
      </c>
      <c r="F15" s="19" t="s">
        <v>28</v>
      </c>
      <c r="G15" s="34" t="s">
        <v>101</v>
      </c>
      <c r="H15" s="17" t="s">
        <v>29</v>
      </c>
      <c r="I15" s="39" t="s">
        <v>41</v>
      </c>
      <c r="J15" s="17" t="s">
        <v>30</v>
      </c>
      <c r="K15" s="17" t="s">
        <v>31</v>
      </c>
      <c r="L15" s="39" t="s">
        <v>42</v>
      </c>
      <c r="M15" s="17" t="s">
        <v>36</v>
      </c>
      <c r="N15" s="17" t="s">
        <v>32</v>
      </c>
      <c r="O15" s="11" t="s">
        <v>134</v>
      </c>
      <c r="P15" s="17">
        <v>2026</v>
      </c>
      <c r="Q15" s="26"/>
    </row>
    <row r="16" spans="1:17" ht="15.5" x14ac:dyDescent="0.35">
      <c r="A16" s="17">
        <v>5</v>
      </c>
      <c r="B16" s="33"/>
      <c r="C16" s="5"/>
      <c r="D16" s="24" t="s">
        <v>139</v>
      </c>
      <c r="E16" s="7" t="s">
        <v>27</v>
      </c>
      <c r="F16" s="19" t="s">
        <v>140</v>
      </c>
      <c r="G16" s="34">
        <v>44653</v>
      </c>
      <c r="H16" s="17" t="s">
        <v>29</v>
      </c>
      <c r="I16" s="39" t="s">
        <v>141</v>
      </c>
      <c r="J16" s="17" t="s">
        <v>38</v>
      </c>
      <c r="K16" s="17" t="s">
        <v>31</v>
      </c>
      <c r="L16" s="39" t="s">
        <v>142</v>
      </c>
      <c r="M16" s="17" t="s">
        <v>36</v>
      </c>
      <c r="N16" s="17" t="s">
        <v>32</v>
      </c>
      <c r="O16" s="11" t="s">
        <v>134</v>
      </c>
      <c r="P16" s="17">
        <v>2026</v>
      </c>
      <c r="Q16" s="26"/>
    </row>
    <row r="17" spans="1:17" ht="15.5" x14ac:dyDescent="0.35">
      <c r="A17" s="17">
        <v>6</v>
      </c>
      <c r="B17" s="33"/>
      <c r="C17" s="5"/>
      <c r="D17" s="24" t="s">
        <v>208</v>
      </c>
      <c r="E17" s="7" t="s">
        <v>27</v>
      </c>
      <c r="F17" s="19" t="s">
        <v>35</v>
      </c>
      <c r="G17" s="34">
        <v>44688</v>
      </c>
      <c r="H17" s="17" t="s">
        <v>209</v>
      </c>
      <c r="I17" s="39" t="s">
        <v>210</v>
      </c>
      <c r="J17" s="17" t="s">
        <v>128</v>
      </c>
      <c r="K17" s="17" t="s">
        <v>31</v>
      </c>
      <c r="L17" s="39" t="s">
        <v>211</v>
      </c>
      <c r="M17" s="17" t="s">
        <v>30</v>
      </c>
      <c r="N17" s="17" t="s">
        <v>32</v>
      </c>
      <c r="O17" s="11" t="s">
        <v>134</v>
      </c>
      <c r="P17" s="17">
        <v>2026</v>
      </c>
      <c r="Q17" s="26"/>
    </row>
    <row r="18" spans="1:17" ht="15.5" x14ac:dyDescent="0.35">
      <c r="A18" s="17">
        <v>7</v>
      </c>
      <c r="B18" s="33"/>
      <c r="C18" s="5"/>
      <c r="D18" s="16" t="s">
        <v>143</v>
      </c>
      <c r="E18" s="17" t="s">
        <v>34</v>
      </c>
      <c r="F18" s="6" t="s">
        <v>35</v>
      </c>
      <c r="G18" s="36" t="s">
        <v>144</v>
      </c>
      <c r="H18" s="17" t="s">
        <v>29</v>
      </c>
      <c r="I18" s="39" t="s">
        <v>145</v>
      </c>
      <c r="J18" s="17" t="s">
        <v>30</v>
      </c>
      <c r="K18" s="17" t="s">
        <v>31</v>
      </c>
      <c r="L18" s="39" t="s">
        <v>146</v>
      </c>
      <c r="M18" s="17" t="s">
        <v>36</v>
      </c>
      <c r="N18" s="17" t="s">
        <v>32</v>
      </c>
      <c r="O18" s="11" t="s">
        <v>134</v>
      </c>
      <c r="P18" s="17">
        <v>2026</v>
      </c>
      <c r="Q18" s="26"/>
    </row>
    <row r="19" spans="1:17" ht="15.5" x14ac:dyDescent="0.35">
      <c r="A19" s="17">
        <v>8</v>
      </c>
      <c r="B19" s="33"/>
      <c r="C19" s="5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1"/>
      <c r="P19" s="17"/>
    </row>
    <row r="20" spans="1:17" ht="15.5" x14ac:dyDescent="0.35">
      <c r="A20" s="17">
        <v>9</v>
      </c>
      <c r="B20" s="33"/>
      <c r="C20" s="5"/>
      <c r="D20" s="24"/>
      <c r="E20" s="7"/>
      <c r="F20" s="19"/>
      <c r="G20" s="34"/>
      <c r="H20" s="17"/>
      <c r="I20" s="17"/>
      <c r="J20" s="17"/>
      <c r="K20" s="17"/>
      <c r="L20" s="17"/>
      <c r="M20" s="17"/>
      <c r="N20" s="17"/>
      <c r="O20" s="11"/>
      <c r="P20" s="17"/>
    </row>
    <row r="21" spans="1:17" ht="15.5" x14ac:dyDescent="0.35">
      <c r="A21" s="17">
        <v>10</v>
      </c>
      <c r="B21" s="33"/>
      <c r="C21" s="5"/>
      <c r="D21" s="24"/>
      <c r="E21" s="7"/>
      <c r="F21" s="19"/>
      <c r="G21" s="34"/>
      <c r="H21" s="17"/>
      <c r="I21" s="17"/>
      <c r="J21" s="17"/>
      <c r="K21" s="17"/>
      <c r="L21" s="17"/>
      <c r="M21" s="17"/>
      <c r="N21" s="17"/>
      <c r="O21" s="11"/>
      <c r="P21" s="17"/>
    </row>
    <row r="22" spans="1:17" ht="15.5" x14ac:dyDescent="0.35">
      <c r="A22" s="17">
        <v>11</v>
      </c>
      <c r="B22" s="33"/>
      <c r="C22" s="5"/>
      <c r="D22" s="24"/>
      <c r="E22" s="7"/>
      <c r="F22" s="19"/>
      <c r="G22" s="34"/>
      <c r="H22" s="17"/>
      <c r="I22" s="17"/>
      <c r="J22" s="17"/>
      <c r="K22" s="17"/>
      <c r="L22" s="17"/>
      <c r="M22" s="17"/>
      <c r="N22" s="17"/>
      <c r="O22" s="11"/>
      <c r="P22" s="17"/>
    </row>
    <row r="23" spans="1:17" ht="15.5" x14ac:dyDescent="0.35">
      <c r="A23" s="17">
        <v>12</v>
      </c>
      <c r="B23" s="33"/>
      <c r="C23" s="5"/>
      <c r="D23" s="24"/>
      <c r="E23" s="7"/>
      <c r="F23" s="19"/>
      <c r="G23" s="34"/>
      <c r="H23" s="17"/>
      <c r="I23" s="17"/>
      <c r="J23" s="17"/>
      <c r="K23" s="17"/>
      <c r="L23" s="17"/>
      <c r="M23" s="17"/>
      <c r="N23" s="17"/>
      <c r="O23" s="11"/>
      <c r="P23" s="17"/>
    </row>
    <row r="24" spans="1:17" ht="15.5" x14ac:dyDescent="0.35">
      <c r="A24" s="17">
        <v>13</v>
      </c>
      <c r="B24" s="33"/>
      <c r="C24" s="5"/>
      <c r="D24" s="24"/>
      <c r="E24" s="7"/>
      <c r="F24" s="19"/>
      <c r="G24" s="34"/>
      <c r="H24" s="17"/>
      <c r="I24" s="17"/>
      <c r="J24" s="17"/>
      <c r="K24" s="17"/>
      <c r="L24" s="17"/>
      <c r="M24" s="17"/>
      <c r="N24" s="17"/>
      <c r="O24" s="11"/>
      <c r="P24" s="17"/>
    </row>
    <row r="25" spans="1:17" ht="15.5" x14ac:dyDescent="0.35">
      <c r="A25" s="17">
        <v>14</v>
      </c>
      <c r="B25" s="33"/>
      <c r="C25" s="5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1"/>
      <c r="P25" s="17"/>
    </row>
    <row r="26" spans="1:17" ht="15.5" x14ac:dyDescent="0.35">
      <c r="A26" s="17">
        <v>15</v>
      </c>
      <c r="B26" s="33"/>
      <c r="C26" s="5"/>
      <c r="D26" s="24"/>
      <c r="E26" s="7"/>
      <c r="F26" s="19"/>
      <c r="G26" s="34"/>
      <c r="H26" s="17"/>
      <c r="I26" s="17"/>
      <c r="J26" s="17"/>
      <c r="K26" s="17"/>
      <c r="L26" s="17"/>
      <c r="M26" s="17"/>
      <c r="N26" s="17"/>
      <c r="O26" s="11"/>
      <c r="P26" s="17"/>
    </row>
    <row r="27" spans="1:17" ht="15.5" x14ac:dyDescent="0.35">
      <c r="A27" s="1"/>
      <c r="B27" s="18"/>
      <c r="C27" s="1"/>
      <c r="D27" s="1"/>
      <c r="E27" s="1"/>
      <c r="F27" s="2"/>
      <c r="G27" s="18"/>
      <c r="H27" s="1"/>
      <c r="I27" s="18"/>
      <c r="J27" s="1"/>
      <c r="K27" s="1"/>
      <c r="L27" s="1"/>
      <c r="M27" s="1"/>
      <c r="N27" s="1"/>
      <c r="O27" s="1"/>
      <c r="P27" s="9"/>
    </row>
    <row r="28" spans="1:17" ht="15.5" x14ac:dyDescent="0.35">
      <c r="A28" s="1"/>
      <c r="B28" s="12" t="s">
        <v>44</v>
      </c>
      <c r="C28" s="1"/>
      <c r="D28" s="1"/>
      <c r="E28" s="1"/>
      <c r="F28" s="2"/>
      <c r="G28" s="18"/>
      <c r="H28" s="1"/>
      <c r="I28" s="18"/>
      <c r="J28" s="1"/>
      <c r="K28" s="1"/>
      <c r="L28" s="1"/>
      <c r="M28" s="1"/>
      <c r="N28" s="1"/>
      <c r="O28" s="1"/>
      <c r="P28" s="13"/>
    </row>
    <row r="29" spans="1:17" ht="15.5" x14ac:dyDescent="0.35">
      <c r="A29" s="1"/>
      <c r="B29" s="18" t="s">
        <v>34</v>
      </c>
      <c r="C29" s="1">
        <f>COUNTIF($E$12:$E$26, "L")</f>
        <v>3</v>
      </c>
      <c r="D29" s="1"/>
      <c r="E29" s="1"/>
      <c r="F29" s="2"/>
      <c r="G29" s="18"/>
      <c r="H29" s="1"/>
      <c r="I29" s="18"/>
      <c r="J29" s="1"/>
      <c r="K29" s="1"/>
      <c r="L29" s="1"/>
      <c r="M29" s="1"/>
      <c r="N29" s="13" t="s">
        <v>46</v>
      </c>
      <c r="O29" s="9"/>
    </row>
    <row r="30" spans="1:17" ht="15.5" x14ac:dyDescent="0.35">
      <c r="A30" s="1"/>
      <c r="B30" s="18" t="s">
        <v>45</v>
      </c>
      <c r="C30" s="1">
        <f>COUNTIF($E$12:$E$26, "P")</f>
        <v>4</v>
      </c>
      <c r="D30" s="1"/>
      <c r="E30" s="1"/>
      <c r="F30" s="2"/>
      <c r="G30" s="18"/>
      <c r="H30" s="1"/>
      <c r="I30" s="18"/>
      <c r="J30" s="1"/>
      <c r="K30" s="1"/>
      <c r="L30" s="1"/>
      <c r="M30" s="1"/>
      <c r="N30" s="1" t="s">
        <v>48</v>
      </c>
      <c r="O30" s="13"/>
    </row>
    <row r="31" spans="1:17" ht="15.5" x14ac:dyDescent="0.35">
      <c r="A31" s="1"/>
      <c r="B31" s="18" t="s">
        <v>47</v>
      </c>
      <c r="C31" s="1">
        <f>C29+C30</f>
        <v>7</v>
      </c>
      <c r="D31" s="1"/>
      <c r="E31" s="1"/>
      <c r="F31" s="2"/>
      <c r="G31" s="18"/>
      <c r="H31" s="1"/>
      <c r="I31" s="18"/>
      <c r="J31" s="1"/>
      <c r="K31" s="1"/>
      <c r="L31" s="1"/>
      <c r="M31" s="1"/>
      <c r="N31" s="13"/>
      <c r="O31" s="13"/>
    </row>
    <row r="32" spans="1:17" ht="15.5" x14ac:dyDescent="0.35">
      <c r="A32" s="1"/>
      <c r="B32" s="1"/>
      <c r="C32" s="1"/>
      <c r="D32" s="1"/>
      <c r="E32" s="1"/>
      <c r="F32" s="2"/>
      <c r="G32" s="18"/>
      <c r="H32" s="1"/>
      <c r="I32" s="18"/>
      <c r="J32" s="1"/>
      <c r="K32" s="1"/>
      <c r="L32" s="1"/>
      <c r="M32" s="1"/>
      <c r="N32" s="13"/>
      <c r="O32" s="13"/>
    </row>
    <row r="33" spans="1:15" ht="15.5" x14ac:dyDescent="0.35">
      <c r="A33" s="1"/>
      <c r="B33" s="1"/>
      <c r="C33" s="1"/>
      <c r="D33" s="1"/>
      <c r="E33" s="1"/>
      <c r="F33" s="2"/>
      <c r="G33" s="18"/>
      <c r="H33" s="1"/>
      <c r="I33" s="18"/>
      <c r="J33" s="1"/>
      <c r="K33" s="1"/>
      <c r="L33" s="1"/>
      <c r="M33" s="1"/>
      <c r="N33" s="13"/>
      <c r="O33" s="13"/>
    </row>
    <row r="34" spans="1:15" ht="15.5" x14ac:dyDescent="0.35">
      <c r="A34" s="1"/>
      <c r="B34" s="1"/>
      <c r="C34" s="1"/>
      <c r="D34" s="1"/>
      <c r="E34" s="1"/>
      <c r="F34" s="2"/>
      <c r="G34" s="18"/>
      <c r="H34" s="1"/>
      <c r="I34" s="18"/>
      <c r="J34" s="1"/>
      <c r="K34" s="1"/>
      <c r="L34" s="1"/>
      <c r="M34" s="1"/>
      <c r="N34" s="15" t="s">
        <v>49</v>
      </c>
      <c r="O34" s="9"/>
    </row>
    <row r="35" spans="1:15" ht="15.5" x14ac:dyDescent="0.35">
      <c r="A35" s="9"/>
      <c r="B35" s="9"/>
      <c r="C35" s="9"/>
      <c r="D35" s="9"/>
      <c r="E35" s="9"/>
      <c r="F35" s="2"/>
      <c r="G35" s="14"/>
      <c r="H35" s="9"/>
      <c r="I35" s="14"/>
      <c r="J35" s="9"/>
      <c r="K35" s="9"/>
      <c r="L35" s="9"/>
      <c r="M35" s="9"/>
      <c r="N35" s="1" t="s">
        <v>50</v>
      </c>
      <c r="O35" s="13"/>
    </row>
    <row r="36" spans="1:15" ht="15.5" x14ac:dyDescent="0.35">
      <c r="A36" s="9"/>
      <c r="B36" s="9"/>
      <c r="C36" s="9"/>
      <c r="D36" s="9"/>
      <c r="E36" s="9"/>
      <c r="F36" s="2"/>
      <c r="G36" s="14"/>
      <c r="H36" s="9"/>
      <c r="I36" s="14"/>
      <c r="J36" s="9"/>
      <c r="K36" s="9"/>
      <c r="L36" s="9"/>
      <c r="M36" s="9"/>
      <c r="N36" s="9"/>
    </row>
  </sheetData>
  <mergeCells count="10">
    <mergeCell ref="A1:P1"/>
    <mergeCell ref="A2:P2"/>
    <mergeCell ref="A9:A10"/>
    <mergeCell ref="B9:C9"/>
    <mergeCell ref="D9:D10"/>
    <mergeCell ref="E9:E10"/>
    <mergeCell ref="F9:G9"/>
    <mergeCell ref="H9:H10"/>
    <mergeCell ref="I9:N9"/>
    <mergeCell ref="O9:P9"/>
  </mergeCells>
  <conditionalFormatting sqref="B13:B18 B20:B26">
    <cfRule type="duplicateValues" dxfId="0" priority="2" stopIfTrue="1"/>
  </conditionalFormatting>
  <dataValidations count="3">
    <dataValidation allowBlank="1" showInputMessage="1" showErrorMessage="1" prompt="Nomor Induk Siswa" sqref="B13:B18 B20:B26" xr:uid="{0380A07A-3C46-4F2D-9220-1442AE848BED}"/>
    <dataValidation allowBlank="1" showInputMessage="1" showErrorMessage="1" prompt="(yyyy-mm-dd)_x000a_1996-05-18" sqref="G26 G20:G24 G13:G18" xr:uid="{C22F29E5-3606-49C6-ABD8-A194EE864479}"/>
    <dataValidation type="list" allowBlank="1" showDropDown="1" showInputMessage="1" showErrorMessage="1" error="Gunakan L = Laki-laki, P = Perempuan" prompt="L = Laki-laki_x000a_P = Perempuan" sqref="E26 E20:E24 E13:E18" xr:uid="{8729AD40-459D-4CE9-8938-268F83DF77C1}">
      <formula1>"L, P,"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MATAHARI</vt:lpstr>
      <vt:lpstr>BINTANG</vt:lpstr>
      <vt:lpstr>BULAN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Digitalisasi</dc:creator>
  <cp:lastModifiedBy>Digitalisasi</cp:lastModifiedBy>
  <dcterms:created xsi:type="dcterms:W3CDTF">2026-08-05T01:05:00Z</dcterms:created>
  <dcterms:modified xsi:type="dcterms:W3CDTF">2026-08-07T07:19:07Z</dcterms:modified>
</cp:coreProperties>
</file>