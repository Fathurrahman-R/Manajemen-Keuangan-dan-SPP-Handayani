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gitalisasi\Downloads\"/>
    </mc:Choice>
  </mc:AlternateContent>
  <xr:revisionPtr revIDLastSave="0" documentId="8_{E16D3C31-9724-44E3-9CF2-447CF978B4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las 1" sheetId="21" r:id="rId1"/>
    <sheet name="Kelas 2" sheetId="20" r:id="rId2"/>
    <sheet name="Kelas 3" sheetId="19" r:id="rId3"/>
    <sheet name="Kelas 4" sheetId="18" r:id="rId4"/>
    <sheet name="Kelas 5" sheetId="17" r:id="rId5"/>
    <sheet name="Kelas 6" sheetId="16" r:id="rId6"/>
    <sheet name="ANG 4" sheetId="15" r:id="rId7"/>
    <sheet name="ANG 3" sheetId="10" r:id="rId8"/>
    <sheet name="ANG 2" sheetId="11" r:id="rId9"/>
    <sheet name="ANG. 1" sheetId="14" r:id="rId10"/>
  </sheets>
  <definedNames>
    <definedName name="_xlnm.Print_Area" localSheetId="8">'ANG 2'!$A$1:$R$34</definedName>
    <definedName name="_xlnm.Print_Area" localSheetId="7">'ANG 3'!$A$1:$R$42</definedName>
    <definedName name="_xlnm.Print_Area" localSheetId="6">'ANG 4'!$A$1:$U$36</definedName>
    <definedName name="_xlnm.Print_Area" localSheetId="1">'Kelas 2'!$A$1:$S$46</definedName>
    <definedName name="_xlnm.Print_Area" localSheetId="2">'Kelas 3'!$A$1:$S$34</definedName>
    <definedName name="_xlnm.Print_Area" localSheetId="3">'Kelas 4'!$A$1:$S$34</definedName>
    <definedName name="_xlnm.Print_Area" localSheetId="4">'Kelas 5'!$A$1:$S$37</definedName>
    <definedName name="_xlnm.Print_Area" localSheetId="5">'Kelas 6'!$A$1:$U$34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1" l="1"/>
  <c r="C44" i="21"/>
  <c r="R11" i="21"/>
  <c r="S11" i="21" s="1"/>
  <c r="B11" i="21"/>
  <c r="C11" i="21" s="1"/>
  <c r="D11" i="21" s="1"/>
  <c r="E11" i="21" s="1"/>
  <c r="F11" i="21" s="1"/>
  <c r="G11" i="21" s="1"/>
  <c r="H11" i="21" s="1"/>
  <c r="I11" i="21" s="1"/>
  <c r="J11" i="21" s="1"/>
  <c r="K11" i="21" s="1"/>
  <c r="C40" i="20"/>
  <c r="C39" i="20"/>
  <c r="R11" i="20"/>
  <c r="S11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C28" i="19"/>
  <c r="C27" i="19"/>
  <c r="C46" i="21" l="1"/>
  <c r="C41" i="20"/>
  <c r="C31" i="15"/>
  <c r="C30" i="15"/>
  <c r="C32" i="15" s="1"/>
  <c r="C29" i="16"/>
  <c r="C28" i="16"/>
  <c r="C31" i="17"/>
  <c r="C30" i="17"/>
  <c r="C29" i="18"/>
  <c r="C29" i="19"/>
  <c r="C30" i="16" l="1"/>
  <c r="C32" i="17"/>
  <c r="B11" i="19"/>
  <c r="C11" i="19" s="1"/>
  <c r="D11" i="19" s="1"/>
  <c r="E11" i="19" s="1"/>
  <c r="F11" i="19" s="1"/>
  <c r="G11" i="19" s="1"/>
  <c r="H11" i="19" s="1"/>
  <c r="I11" i="19" s="1"/>
  <c r="J11" i="19" s="1"/>
  <c r="K11" i="19" s="1"/>
  <c r="L11" i="19" s="1"/>
  <c r="M11" i="19" s="1"/>
  <c r="N11" i="19" s="1"/>
  <c r="O11" i="19" s="1"/>
  <c r="P11" i="19" s="1"/>
  <c r="Q11" i="19" s="1"/>
  <c r="R11" i="19" s="1"/>
  <c r="S11" i="19" s="1"/>
  <c r="B12" i="14" l="1"/>
  <c r="C12" i="14"/>
  <c r="D12" i="14" s="1"/>
  <c r="E12" i="14" s="1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A14" i="14"/>
  <c r="A16" i="14"/>
  <c r="B11" i="11"/>
  <c r="C11" i="11" s="1"/>
  <c r="D11" i="11" s="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P11" i="11"/>
  <c r="Q11" i="11" s="1"/>
  <c r="R11" i="11" s="1"/>
  <c r="B11" i="10"/>
  <c r="C11" i="10" s="1"/>
  <c r="D11" i="10" s="1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P11" i="10"/>
  <c r="Q11" i="10" s="1"/>
  <c r="R11" i="10" s="1"/>
  <c r="B11" i="15"/>
  <c r="C11" i="15" s="1"/>
  <c r="D11" i="15" s="1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B11" i="16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B11" i="17"/>
  <c r="C11" i="17" s="1"/>
  <c r="D11" i="17" s="1"/>
  <c r="E11" i="17" s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B11" i="18"/>
  <c r="C11" i="18" s="1"/>
  <c r="D11" i="18" s="1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O11" i="18" s="1"/>
  <c r="P11" i="18" s="1"/>
  <c r="Q11" i="18" s="1"/>
  <c r="R11" i="18" s="1"/>
  <c r="S11" i="18" s="1"/>
</calcChain>
</file>

<file path=xl/sharedStrings.xml><?xml version="1.0" encoding="utf-8"?>
<sst xmlns="http://schemas.openxmlformats.org/spreadsheetml/2006/main" count="2754" uniqueCount="931">
  <si>
    <t>DATA SISWA MADRASAH KOTA PONTIANAK</t>
  </si>
  <si>
    <t>Nama Madrasah</t>
  </si>
  <si>
    <t>NSM</t>
  </si>
  <si>
    <t>Kelas/Rombel</t>
  </si>
  <si>
    <t>Alamat</t>
  </si>
  <si>
    <t>No</t>
  </si>
  <si>
    <t>Nomor Induk Siswa</t>
  </si>
  <si>
    <t>Madrasah</t>
  </si>
  <si>
    <t>Nasional</t>
  </si>
  <si>
    <t>Nama Siswa</t>
  </si>
  <si>
    <t>L/P</t>
  </si>
  <si>
    <t>Tempat dan Tanggal Lahir</t>
  </si>
  <si>
    <t>Agama</t>
  </si>
  <si>
    <t>Orang Tua</t>
  </si>
  <si>
    <t>Nama Ayah</t>
  </si>
  <si>
    <t>Pend.</t>
  </si>
  <si>
    <t>Pekerjaan</t>
  </si>
  <si>
    <t>Asal MI</t>
  </si>
  <si>
    <t>STTB</t>
  </si>
  <si>
    <t>Nomor</t>
  </si>
  <si>
    <t>Tahun</t>
  </si>
  <si>
    <t>Diterima</t>
  </si>
  <si>
    <t>di kls</t>
  </si>
  <si>
    <t>tahun</t>
  </si>
  <si>
    <t>Alamat Siswa</t>
  </si>
  <si>
    <t>Ket</t>
  </si>
  <si>
    <t>L</t>
  </si>
  <si>
    <t>Tempat</t>
  </si>
  <si>
    <t>Tanggal Lahir</t>
  </si>
  <si>
    <t>Islam</t>
  </si>
  <si>
    <t>P</t>
  </si>
  <si>
    <t xml:space="preserve">P </t>
  </si>
  <si>
    <t>Jumlah</t>
  </si>
  <si>
    <t>-</t>
  </si>
  <si>
    <t xml:space="preserve">Keterangan </t>
  </si>
  <si>
    <t>Kubu Raya</t>
  </si>
  <si>
    <t>SD</t>
  </si>
  <si>
    <t>Pontianak</t>
  </si>
  <si>
    <t>SMA</t>
  </si>
  <si>
    <t>Buruh</t>
  </si>
  <si>
    <t>SMP</t>
  </si>
  <si>
    <t>Wiraswasta</t>
  </si>
  <si>
    <t>Swasta</t>
  </si>
  <si>
    <t>S1</t>
  </si>
  <si>
    <t>PNS</t>
  </si>
  <si>
    <t>Indra Wahyudin</t>
  </si>
  <si>
    <t>17002</t>
  </si>
  <si>
    <t>17001</t>
  </si>
  <si>
    <t>17006</t>
  </si>
  <si>
    <t>17007</t>
  </si>
  <si>
    <t>17012</t>
  </si>
  <si>
    <t>17009</t>
  </si>
  <si>
    <t>17008</t>
  </si>
  <si>
    <t>17005</t>
  </si>
  <si>
    <t>17013</t>
  </si>
  <si>
    <t>18029</t>
  </si>
  <si>
    <t>18022</t>
  </si>
  <si>
    <t>18030</t>
  </si>
  <si>
    <t>18027</t>
  </si>
  <si>
    <t>18024</t>
  </si>
  <si>
    <t>18028</t>
  </si>
  <si>
    <t>18036</t>
  </si>
  <si>
    <t>18033</t>
  </si>
  <si>
    <t>18037</t>
  </si>
  <si>
    <t>18020</t>
  </si>
  <si>
    <t>18038</t>
  </si>
  <si>
    <t>18040</t>
  </si>
  <si>
    <t>15/08/2011</t>
  </si>
  <si>
    <t>26/08/2012</t>
  </si>
  <si>
    <t>28/08/2012</t>
  </si>
  <si>
    <t>16/06/2012</t>
  </si>
  <si>
    <t>16/10/2011</t>
  </si>
  <si>
    <t>29/09/2012</t>
  </si>
  <si>
    <t>Guru</t>
  </si>
  <si>
    <t>Purtussibau</t>
  </si>
  <si>
    <t>Parit Ganduk</t>
  </si>
  <si>
    <t>MIS Handayani</t>
  </si>
  <si>
    <t>Jl. Mega Timur Gg. Muhrim</t>
  </si>
  <si>
    <t>Dusun Mega Jaya</t>
  </si>
  <si>
    <t>Jl. Selat Panjang Gg. Sepakat</t>
  </si>
  <si>
    <t>Dusun Mega Lestari</t>
  </si>
  <si>
    <t xml:space="preserve">Jl. Dusun Mega Timur </t>
  </si>
  <si>
    <t>Jl. Selat Panjang</t>
  </si>
  <si>
    <t>Jl. Tritura Gg. H. Ashari</t>
  </si>
  <si>
    <t>Jl. Selat Panjang Gg. Karya Bakti III</t>
  </si>
  <si>
    <t xml:space="preserve">Jl. Selat Panjang II  </t>
  </si>
  <si>
    <t>Jl. Selat Panjang II Komp. Permata Golf</t>
  </si>
  <si>
    <t>Widi Setyawan</t>
  </si>
  <si>
    <t>Poniiman</t>
  </si>
  <si>
    <t>Maulana</t>
  </si>
  <si>
    <t>Edy Hanggara</t>
  </si>
  <si>
    <t>Abdus Salam</t>
  </si>
  <si>
    <t>Wisnu</t>
  </si>
  <si>
    <t>Sy. Hasan Basri</t>
  </si>
  <si>
    <t>Sy. M. Yusuf</t>
  </si>
  <si>
    <t>Abdul Hayat</t>
  </si>
  <si>
    <t>Alif Rafif Huda</t>
  </si>
  <si>
    <t>Annur Aulia Maulidia</t>
  </si>
  <si>
    <t>Azizah Oktavia Ningsih</t>
  </si>
  <si>
    <t>Dwi Ariyanto</t>
  </si>
  <si>
    <t>Echy Assyifa Anggrayni</t>
  </si>
  <si>
    <t>Luitfi Zaky Zaidan</t>
  </si>
  <si>
    <t>Putri Ramadhani</t>
  </si>
  <si>
    <t>Syakila Az Zahra</t>
  </si>
  <si>
    <t>Syarif Mubarok</t>
  </si>
  <si>
    <t>Syarif Muhammad Alwi Muzakkir</t>
  </si>
  <si>
    <t>Ulfa</t>
  </si>
  <si>
    <t>Zainal Firdaus</t>
  </si>
  <si>
    <t>: MIS Handayani</t>
  </si>
  <si>
    <t>: 111261710028</t>
  </si>
  <si>
    <t>: Jalan Selat Panjang  No. 357, Kelurahan Siantan Hulu, Kecamatan Pontianak Utara</t>
  </si>
  <si>
    <t>Aldo Pramudia Cesar</t>
  </si>
  <si>
    <t>Alya Ramadhania</t>
  </si>
  <si>
    <t>Chuirul Azhar</t>
  </si>
  <si>
    <t>Cila Aulia</t>
  </si>
  <si>
    <t>Fahrezy Putra Paryan</t>
  </si>
  <si>
    <t>Muhammad Daffa</t>
  </si>
  <si>
    <t>Muhammad Felix Akbar</t>
  </si>
  <si>
    <t>Siti Nur Aisyah</t>
  </si>
  <si>
    <t>Sungai Ambawang</t>
  </si>
  <si>
    <t>Edy Susanto</t>
  </si>
  <si>
    <t>Ahmad Yani</t>
  </si>
  <si>
    <t>M. Luffi Asanusi</t>
  </si>
  <si>
    <t>Jemain</t>
  </si>
  <si>
    <t>Paryono</t>
  </si>
  <si>
    <t>Murdiansyah</t>
  </si>
  <si>
    <t>Endra Miharna</t>
  </si>
  <si>
    <t>Muhammad Yunus</t>
  </si>
  <si>
    <t>Desa Mega Timur</t>
  </si>
  <si>
    <t>Jl. Selat Panjang Gg Sepakat</t>
  </si>
  <si>
    <t>Jl. 28 Oktober  No. 24</t>
  </si>
  <si>
    <t>Jl Selat Panjang Komp. Villa Mega Timur Estate</t>
  </si>
  <si>
    <t xml:space="preserve">Jl. Selat Panjang </t>
  </si>
  <si>
    <t>Jl. Selat Panjang Gg. Karya Bakti I</t>
  </si>
  <si>
    <t>Parit Ganduk Desa Mega Timur</t>
  </si>
  <si>
    <t>:  7</t>
  </si>
  <si>
    <t>Sahuda Lembok</t>
  </si>
  <si>
    <t>Rahmadi</t>
  </si>
  <si>
    <t xml:space="preserve">Jl. Mega Timur Komplek Darussalam </t>
  </si>
  <si>
    <t>Syamir Abdillah Pratama</t>
  </si>
  <si>
    <t>Asbullah</t>
  </si>
  <si>
    <t>Jl. Selat Panjang  Gg. Sepakat</t>
  </si>
  <si>
    <t>Aditia</t>
  </si>
  <si>
    <t>Awaludin</t>
  </si>
  <si>
    <t>Muhammad Raditya Arkhan</t>
  </si>
  <si>
    <t>Muammar Ridha</t>
  </si>
  <si>
    <t>Mega Timur</t>
  </si>
  <si>
    <t>Syehfania Sahnatu Vauzia</t>
  </si>
  <si>
    <t>Ahmad Saifudin</t>
  </si>
  <si>
    <t>Dusun Mega Melati</t>
  </si>
  <si>
    <t>Aurelia Zahra Salsabila</t>
  </si>
  <si>
    <t>Sunardi</t>
  </si>
  <si>
    <t>Jl. 28 Oktober Komplek Pemda</t>
  </si>
  <si>
    <t>Yudistira Naditya Dini</t>
  </si>
  <si>
    <t>Efendi</t>
  </si>
  <si>
    <t>Jl. Selat Panjang Gg. Karya Keluarga</t>
  </si>
  <si>
    <t>Syarif Umar Ali</t>
  </si>
  <si>
    <t>07/07/2012</t>
  </si>
  <si>
    <t>Sy. Raffan Jani</t>
  </si>
  <si>
    <t>Jl. Panglima Aim Gg. Mandala</t>
  </si>
  <si>
    <t>Wardatul Fadila</t>
  </si>
  <si>
    <t>Masmuji</t>
  </si>
  <si>
    <t>Adim Arya</t>
  </si>
  <si>
    <t>11/09/2012</t>
  </si>
  <si>
    <t>Imam Tobroni</t>
  </si>
  <si>
    <t>Muhammad Satrio Pamungkas</t>
  </si>
  <si>
    <t>14/11/2012</t>
  </si>
  <si>
    <t>Midkhul Huda</t>
  </si>
  <si>
    <t>Rifki Arief Maulana</t>
  </si>
  <si>
    <t>01/07/2013</t>
  </si>
  <si>
    <t>Toto Prianto</t>
  </si>
  <si>
    <t>Jl. Ampera Gg. Perdana</t>
  </si>
  <si>
    <t>Syarifah Azilah Putri Kinara Al Qadri</t>
  </si>
  <si>
    <t>30/01/2013</t>
  </si>
  <si>
    <t>Sy. Madya Syafari</t>
  </si>
  <si>
    <t>Jl. Khatulistiwa</t>
  </si>
  <si>
    <t>Aliif Dzakwaan Artha Wijaya</t>
  </si>
  <si>
    <t>Sanggau</t>
  </si>
  <si>
    <t>20/03/2013</t>
  </si>
  <si>
    <t>Sakijan</t>
  </si>
  <si>
    <t>Polri</t>
  </si>
  <si>
    <t>Balqis Adila Husna Ramadhani</t>
  </si>
  <si>
    <t xml:space="preserve">Polri </t>
  </si>
  <si>
    <t>Jl. Mega Timur Komplek Villa Mega Timur Estate</t>
  </si>
  <si>
    <t>:  6</t>
  </si>
  <si>
    <t>: 3 / 1</t>
  </si>
  <si>
    <t>3</t>
  </si>
  <si>
    <t>: 4 / 1</t>
  </si>
  <si>
    <t>Dusun Mega Blora</t>
  </si>
  <si>
    <t>Syahrul Ramadhan</t>
  </si>
  <si>
    <t>Yusli</t>
  </si>
  <si>
    <t>Irmaini Astar</t>
  </si>
  <si>
    <t>Sudar</t>
  </si>
  <si>
    <t>Muhammad Fahri Ramadhan</t>
  </si>
  <si>
    <t xml:space="preserve">Jailani </t>
  </si>
  <si>
    <t>Ulfa Muazara</t>
  </si>
  <si>
    <t>Medang</t>
  </si>
  <si>
    <t>Julani</t>
  </si>
  <si>
    <t>Muhammad Fakhrul</t>
  </si>
  <si>
    <t>04/06/2014</t>
  </si>
  <si>
    <t>Zakira Aftani Azalfa</t>
  </si>
  <si>
    <t>13/10/2013</t>
  </si>
  <si>
    <t>Yani</t>
  </si>
  <si>
    <t>Fajri Aminullah Salim</t>
  </si>
  <si>
    <t>M. Junaidi Efendi</t>
  </si>
  <si>
    <t>Jl. Mega Timur</t>
  </si>
  <si>
    <t>Nabil Wahyu Handoko</t>
  </si>
  <si>
    <t>16/01/2014</t>
  </si>
  <si>
    <t>Suyatmoko</t>
  </si>
  <si>
    <t>Jl. Selat Panjang Gg. Rahman</t>
  </si>
  <si>
    <t>Yusuf Annahdi</t>
  </si>
  <si>
    <t>Fauzi Annahdi</t>
  </si>
  <si>
    <t xml:space="preserve">Jl. Selat Panjang Gg. Sepakat </t>
  </si>
  <si>
    <t>Ikrima Srivayu Intan</t>
  </si>
  <si>
    <t>Munif</t>
  </si>
  <si>
    <t>S.1</t>
  </si>
  <si>
    <t>Zaila Nuria Rahmatiani</t>
  </si>
  <si>
    <t>Suharlan</t>
  </si>
  <si>
    <t>0116122956</t>
  </si>
  <si>
    <t>0115514254</t>
  </si>
  <si>
    <t>0115204770</t>
  </si>
  <si>
    <t>3115463206</t>
  </si>
  <si>
    <t>3114921589</t>
  </si>
  <si>
    <t>Eri Maharani</t>
  </si>
  <si>
    <t>0117798932</t>
  </si>
  <si>
    <t>3112525943</t>
  </si>
  <si>
    <t>0116655660</t>
  </si>
  <si>
    <t>0119554914</t>
  </si>
  <si>
    <t>3123450242</t>
  </si>
  <si>
    <t>3127665976</t>
  </si>
  <si>
    <t>3125494750</t>
  </si>
  <si>
    <t>3120385668</t>
  </si>
  <si>
    <t>3120580653</t>
  </si>
  <si>
    <t>3114318727</t>
  </si>
  <si>
    <t>3111898626</t>
  </si>
  <si>
    <t>3123643143</t>
  </si>
  <si>
    <t>3126518734</t>
  </si>
  <si>
    <t>3120344123</t>
  </si>
  <si>
    <t>3117817656</t>
  </si>
  <si>
    <t>3129340893</t>
  </si>
  <si>
    <t>1408376110811</t>
  </si>
  <si>
    <t>Jl. Selat Panjang Gg. Karya Bakti 1</t>
  </si>
  <si>
    <t>Muhammad Nabil</t>
  </si>
  <si>
    <t>Hardiansyah</t>
  </si>
  <si>
    <t>Jl. Mega Timur Gg. Mega Asri</t>
  </si>
  <si>
    <t>Jl. Selat Panjang 2 Gg. Kelompok Tani</t>
  </si>
  <si>
    <t>Ardiansyah</t>
  </si>
  <si>
    <t>Zulfa Wirdahatul Aliyah</t>
  </si>
  <si>
    <t>Mempawah</t>
  </si>
  <si>
    <t>13/10/2015</t>
  </si>
  <si>
    <t>Zulkifli</t>
  </si>
  <si>
    <t>Jl. Selat Panjang 2 Komp. Permata Golf Residence Blok-G 4</t>
  </si>
  <si>
    <t>Anjani Quadra Nuar</t>
  </si>
  <si>
    <t>15/09/2015</t>
  </si>
  <si>
    <t>Yanuar</t>
  </si>
  <si>
    <t>Jl. Selat Panjang Gg. Nasional</t>
  </si>
  <si>
    <t>Ariani</t>
  </si>
  <si>
    <t>28/05/2015</t>
  </si>
  <si>
    <t>Bustamil Arifin</t>
  </si>
  <si>
    <t>Muhammad Rizki Setiawan</t>
  </si>
  <si>
    <t>Heri Busari</t>
  </si>
  <si>
    <t>Yuda</t>
  </si>
  <si>
    <t>Jl. Mega Timur Gg. Usaha</t>
  </si>
  <si>
    <t>Muhammad Azka Arrafif</t>
  </si>
  <si>
    <t>Zakaria</t>
  </si>
  <si>
    <t>Imdad Jabbar</t>
  </si>
  <si>
    <t>13/08/2015</t>
  </si>
  <si>
    <t>Jl. Selat Panjang 2 kOmp. Permata Golf Residence Blok-I 9</t>
  </si>
  <si>
    <t>Naufal Hafidz</t>
  </si>
  <si>
    <t>27/11/2014</t>
  </si>
  <si>
    <t>Tugimin</t>
  </si>
  <si>
    <t>Dusun Maju Jaya Kuala Mandor B</t>
  </si>
  <si>
    <t>16/02/2015</t>
  </si>
  <si>
    <t>Maulidi</t>
  </si>
  <si>
    <t>Nurul Debi Febrianti</t>
  </si>
  <si>
    <t>Mohamad Nasir</t>
  </si>
  <si>
    <t>Parit Timur</t>
  </si>
  <si>
    <t>Ratu Syakira Anggowo</t>
  </si>
  <si>
    <t>27/06/2015</t>
  </si>
  <si>
    <t>Estu Leres Anggowo</t>
  </si>
  <si>
    <t>Arsy Aqilla Kastri</t>
  </si>
  <si>
    <t>09/05/2015</t>
  </si>
  <si>
    <t>Kasman</t>
  </si>
  <si>
    <t>Jl. Selat Panjang Gg. Parit Norman</t>
  </si>
  <si>
    <t>: 5 / 1</t>
  </si>
  <si>
    <t>Syifa Tiara Ayunda</t>
  </si>
  <si>
    <t xml:space="preserve">Mempawah </t>
  </si>
  <si>
    <t>Antonius</t>
  </si>
  <si>
    <t>Jl. Selat Panjang II</t>
  </si>
  <si>
    <t>Fatihan Radiansyah</t>
  </si>
  <si>
    <t>27/03/2013</t>
  </si>
  <si>
    <t>Muhammad Fahriz Rabiulliansyah</t>
  </si>
  <si>
    <t>15/01/2014</t>
  </si>
  <si>
    <t>Muhammad Adamsyah</t>
  </si>
  <si>
    <t>Jl. Khatulistiwa Gg. Beringin 1</t>
  </si>
  <si>
    <t xml:space="preserve">Juliansyah </t>
  </si>
  <si>
    <t>Putri Hasanah</t>
  </si>
  <si>
    <t>Alya Qeyra</t>
  </si>
  <si>
    <t>Nur Hasan</t>
  </si>
  <si>
    <t>Jl. Selat Sumba Gg. Melati 3</t>
  </si>
  <si>
    <t>TAHUN PELAJARAN 2022/2023</t>
  </si>
  <si>
    <t>Aprilia Siti Azzahra</t>
  </si>
  <si>
    <t xml:space="preserve">Aqila Ufaira </t>
  </si>
  <si>
    <t xml:space="preserve">Azzalia Kanaya Marlin </t>
  </si>
  <si>
    <t>Doni Dwi Paulia</t>
  </si>
  <si>
    <t>El Gibran Putra Affani</t>
  </si>
  <si>
    <t xml:space="preserve">Hanin Annahdi </t>
  </si>
  <si>
    <t xml:space="preserve">Hilda Mulyani </t>
  </si>
  <si>
    <t>Kafie El Azzam</t>
  </si>
  <si>
    <t xml:space="preserve">Muhammad Jibriel Khoirul Umam </t>
  </si>
  <si>
    <t>Muhammad Raffa Azka Putra</t>
  </si>
  <si>
    <t>Nadin Qori Hafidzah</t>
  </si>
  <si>
    <t xml:space="preserve">Nawra Azzahra </t>
  </si>
  <si>
    <t xml:space="preserve">Restu Aprinaldi </t>
  </si>
  <si>
    <t>D3</t>
  </si>
  <si>
    <t xml:space="preserve">SMP </t>
  </si>
  <si>
    <t xml:space="preserve"> SD</t>
  </si>
  <si>
    <t xml:space="preserve"> SMA</t>
  </si>
  <si>
    <t xml:space="preserve">Legianto              </t>
  </si>
  <si>
    <t>Teguh Erwanto</t>
  </si>
  <si>
    <t xml:space="preserve">Edwin Marlin      </t>
  </si>
  <si>
    <t xml:space="preserve">Pauzianto          </t>
  </si>
  <si>
    <t xml:space="preserve">Abdul Fakar         </t>
  </si>
  <si>
    <t xml:space="preserve">Fauzi Annahdi        </t>
  </si>
  <si>
    <t xml:space="preserve">Sarijo        </t>
  </si>
  <si>
    <t xml:space="preserve">Wawan Suranto                 </t>
  </si>
  <si>
    <t xml:space="preserve">Khotibul Umam     </t>
  </si>
  <si>
    <t xml:space="preserve">Ajie Yosie       </t>
  </si>
  <si>
    <t xml:space="preserve">Juliansyah       </t>
  </si>
  <si>
    <t xml:space="preserve">Kasmadi               </t>
  </si>
  <si>
    <t xml:space="preserve">Dedy Suardi              </t>
  </si>
  <si>
    <t>Wirausaha</t>
  </si>
  <si>
    <t>Sopir</t>
  </si>
  <si>
    <t>Singkawang</t>
  </si>
  <si>
    <t>Jungkat</t>
  </si>
  <si>
    <t>Landak</t>
  </si>
  <si>
    <t xml:space="preserve">Nur M. Awaludin      </t>
  </si>
  <si>
    <t>Jl. Selat Panjang Gg. Zamrud</t>
  </si>
  <si>
    <t>Jl. Selat Panajng</t>
  </si>
  <si>
    <t>Jl. Selat Panjang Gg. Takari</t>
  </si>
  <si>
    <t>Jl. 28 Oktober Gg. Marga Utama</t>
  </si>
  <si>
    <t>Jl. Selat Panjang    Gg. Karya Bakti 3</t>
  </si>
  <si>
    <t xml:space="preserve">Jl. Dharma Bakti        </t>
  </si>
  <si>
    <t xml:space="preserve">Jl. Gunung Merapi         </t>
  </si>
  <si>
    <t xml:space="preserve">Jl Kampung Arab                                          </t>
  </si>
  <si>
    <t xml:space="preserve">Dusun Mega Jaya       </t>
  </si>
  <si>
    <t>Jl. Mega Timur Komp. Villa Mega Timur</t>
  </si>
  <si>
    <t xml:space="preserve">Jl. Kebangkita Nasional     </t>
  </si>
  <si>
    <t>:  10</t>
  </si>
  <si>
    <t>6</t>
  </si>
  <si>
    <t>5</t>
  </si>
  <si>
    <t>Muhamad Habibie</t>
  </si>
  <si>
    <t>Alif Aroyan</t>
  </si>
  <si>
    <t>: 6 / 1</t>
  </si>
  <si>
    <t>21111</t>
  </si>
  <si>
    <t>: 16</t>
  </si>
  <si>
    <t>: 13</t>
  </si>
  <si>
    <t>Agus Murzani Pratama</t>
  </si>
  <si>
    <t>Sawaludin</t>
  </si>
  <si>
    <t>Jl. Selat Panjang 2 Gg. Tani</t>
  </si>
  <si>
    <t>Jl. 28 Oktober Gg. Kelompok Tani</t>
  </si>
  <si>
    <t>29/05/2012</t>
  </si>
  <si>
    <t>Edwin Marlin</t>
  </si>
  <si>
    <t>Langgikima</t>
  </si>
  <si>
    <t>14/09/2013</t>
  </si>
  <si>
    <t>Edi Efendi</t>
  </si>
  <si>
    <t>JL. Mega Timur Gg. Nasional</t>
  </si>
  <si>
    <t>0122855952</t>
  </si>
  <si>
    <t>Yudi Pratiwi</t>
  </si>
  <si>
    <t>:  5</t>
  </si>
  <si>
    <t>Kepala Madrasah,</t>
  </si>
  <si>
    <t>Lilik Handayani, S. Pd</t>
  </si>
  <si>
    <t>Nuptk. 3953 7616 6130 0002</t>
  </si>
  <si>
    <t>TAHUN PELAJARAN 2023/2024</t>
  </si>
  <si>
    <t>: 2 / 1</t>
  </si>
  <si>
    <t>: 1 / 1</t>
  </si>
  <si>
    <t>1</t>
  </si>
  <si>
    <t>Hafiza</t>
  </si>
  <si>
    <t>Lubna Hanun Mumtazah</t>
  </si>
  <si>
    <t>Muhammad Azriel</t>
  </si>
  <si>
    <t>Nazid Faisal Thamir</t>
  </si>
  <si>
    <t>Raffa Al Farizky</t>
  </si>
  <si>
    <t>Safik Abdurahman</t>
  </si>
  <si>
    <t>Siti Zahra</t>
  </si>
  <si>
    <t>Zhakira Putri Khairunnisa</t>
  </si>
  <si>
    <t>Pedagang</t>
  </si>
  <si>
    <t>Muzakky</t>
  </si>
  <si>
    <t>Ibrahim</t>
  </si>
  <si>
    <t>Jl. Selat Panajng 2 Perm. Permata Golf</t>
  </si>
  <si>
    <t xml:space="preserve">Husni </t>
  </si>
  <si>
    <t>Jl. 28 Oktober Gg. Karakterdes</t>
  </si>
  <si>
    <t>Didi Purnomo</t>
  </si>
  <si>
    <t>M. Yunus</t>
  </si>
  <si>
    <t>Heriyanto</t>
  </si>
  <si>
    <t>Haryono</t>
  </si>
  <si>
    <t>Nurhadi</t>
  </si>
  <si>
    <t>Jailani</t>
  </si>
  <si>
    <t>Muhammad Kenzie Athallah</t>
  </si>
  <si>
    <t>Muhammad Rafi Al Fattah</t>
  </si>
  <si>
    <t>Wagito</t>
  </si>
  <si>
    <t>SMK</t>
  </si>
  <si>
    <t>Febri Syafarudin</t>
  </si>
  <si>
    <t>Perikanan</t>
  </si>
  <si>
    <t>Syifa Sauqiya</t>
  </si>
  <si>
    <t>Rahmat</t>
  </si>
  <si>
    <t>Naura Septiani</t>
  </si>
  <si>
    <t>15</t>
  </si>
  <si>
    <t>TAHUN PELAJARAN 2024/2025</t>
  </si>
  <si>
    <t>Aira Syahraini Putri</t>
  </si>
  <si>
    <t>Julmadi</t>
  </si>
  <si>
    <t>Gg. Tani Dusun Mega Jaya RT 05/ RW 04</t>
  </si>
  <si>
    <t>Arini Putri Indriani</t>
  </si>
  <si>
    <t>Dusun Mega Jaya RT 05/ RW 04</t>
  </si>
  <si>
    <t>Gibran Ardiyono</t>
  </si>
  <si>
    <t>Minardi</t>
  </si>
  <si>
    <t>Mega Timur Gg. Nasional</t>
  </si>
  <si>
    <t>Abrizam Rafif Azhari</t>
  </si>
  <si>
    <t>Hermansyah</t>
  </si>
  <si>
    <t>Jl. Kelompok Tani</t>
  </si>
  <si>
    <t>Faturrahman Raffasya</t>
  </si>
  <si>
    <t>Yudi Widiansyah</t>
  </si>
  <si>
    <t>Jl. Parit Pangeran Komplek Citra Sejahtera</t>
  </si>
  <si>
    <t>Nabil Abimanyu</t>
  </si>
  <si>
    <t>Supir</t>
  </si>
  <si>
    <t>Naufal Alif Zulianda</t>
  </si>
  <si>
    <t>Lukman Nulhakim</t>
  </si>
  <si>
    <t>Jl. Selat Panjang Gg. Pasrah</t>
  </si>
  <si>
    <t>Raihan Ghani Akbar</t>
  </si>
  <si>
    <t>Kurniawan</t>
  </si>
  <si>
    <t>Samarra Duratun Nasiha</t>
  </si>
  <si>
    <t>Nanga Pinoh</t>
  </si>
  <si>
    <t>Yudi Suryansyah</t>
  </si>
  <si>
    <t xml:space="preserve">Jl. Selat Panjang Komp. Darussalam Pesona Blok B. 13 </t>
  </si>
  <si>
    <t>Syarifa Aqila</t>
  </si>
  <si>
    <t>Jl. Selat Panjang Mega Timur Perum. Darusalam Anugrah Blok A8</t>
  </si>
  <si>
    <t>Siti Nur Azizah Lestari</t>
  </si>
  <si>
    <t>Pontianak, 15 Juli 2024</t>
  </si>
  <si>
    <t>Khoirul Azam</t>
  </si>
  <si>
    <t>Achmad Sakur Farid Ahmad</t>
  </si>
  <si>
    <t>Tani</t>
  </si>
  <si>
    <t>Jl. Selat Panjang II Gg. Tani</t>
  </si>
  <si>
    <t>3139802399</t>
  </si>
  <si>
    <t>3145530180</t>
  </si>
  <si>
    <t>0128952548</t>
  </si>
  <si>
    <t>3132277574</t>
  </si>
  <si>
    <t>3138110775</t>
  </si>
  <si>
    <t>3127777070</t>
  </si>
  <si>
    <t>3131977732</t>
  </si>
  <si>
    <t>3135241546</t>
  </si>
  <si>
    <t>0121479732</t>
  </si>
  <si>
    <t>Al'Yandi</t>
  </si>
  <si>
    <t>Prana Radhitya Marlin</t>
  </si>
  <si>
    <t>Dhinah Hasnah Fhatinah</t>
  </si>
  <si>
    <t>3124575675</t>
  </si>
  <si>
    <t>3136054778</t>
  </si>
  <si>
    <t>0138944412</t>
  </si>
  <si>
    <t>0138764151</t>
  </si>
  <si>
    <t>3135532006</t>
  </si>
  <si>
    <t>0131339281</t>
  </si>
  <si>
    <t>3139117824</t>
  </si>
  <si>
    <t>3128588791</t>
  </si>
  <si>
    <t>0143932380</t>
  </si>
  <si>
    <t>3145094501</t>
  </si>
  <si>
    <t>0149514028</t>
  </si>
  <si>
    <t>3143706614</t>
  </si>
  <si>
    <t>3144411596</t>
  </si>
  <si>
    <t>3148640044</t>
  </si>
  <si>
    <t>0145185909</t>
  </si>
  <si>
    <t>0141499791</t>
  </si>
  <si>
    <t>3133195656</t>
  </si>
  <si>
    <t>3139115090</t>
  </si>
  <si>
    <t>3136636125</t>
  </si>
  <si>
    <t>0145672027</t>
  </si>
  <si>
    <t>0137529958</t>
  </si>
  <si>
    <t>3144940683</t>
  </si>
  <si>
    <t>3142610288</t>
  </si>
  <si>
    <t>3156331402</t>
  </si>
  <si>
    <t>3150855170</t>
  </si>
  <si>
    <t>3156567575</t>
  </si>
  <si>
    <t>3153126032</t>
  </si>
  <si>
    <t>3152351283</t>
  </si>
  <si>
    <t>3151117992</t>
  </si>
  <si>
    <t>3152064579</t>
  </si>
  <si>
    <t>3149509755</t>
  </si>
  <si>
    <t>3154199265</t>
  </si>
  <si>
    <t>3156058187</t>
  </si>
  <si>
    <t>3120355694</t>
  </si>
  <si>
    <t>3151742876</t>
  </si>
  <si>
    <t>3159121727</t>
  </si>
  <si>
    <t>3160778576</t>
  </si>
  <si>
    <t>3166936834</t>
  </si>
  <si>
    <t>3156352400</t>
  </si>
  <si>
    <t>3164803725</t>
  </si>
  <si>
    <t>3169335766</t>
  </si>
  <si>
    <t xml:space="preserve">Nur Muhammad Thariq Khairul Ula </t>
  </si>
  <si>
    <t>3157299407</t>
  </si>
  <si>
    <t>3166118919</t>
  </si>
  <si>
    <t>Syarif Ali Faqih Muqaddam</t>
  </si>
  <si>
    <t>3156616181</t>
  </si>
  <si>
    <t>3168210772</t>
  </si>
  <si>
    <t>3154655244</t>
  </si>
  <si>
    <t>3169185649</t>
  </si>
  <si>
    <t>3134821945</t>
  </si>
  <si>
    <t>0162702228</t>
  </si>
  <si>
    <t>3161570397</t>
  </si>
  <si>
    <t>3167723841</t>
  </si>
  <si>
    <t>3157869950</t>
  </si>
  <si>
    <t>3155651461</t>
  </si>
  <si>
    <t>3172953423</t>
  </si>
  <si>
    <t>3171366357</t>
  </si>
  <si>
    <t>3179707807</t>
  </si>
  <si>
    <t>3172872016</t>
  </si>
  <si>
    <t>3163393708</t>
  </si>
  <si>
    <t>Nisa Syakilah</t>
  </si>
  <si>
    <t>13/09/2012</t>
  </si>
  <si>
    <t>Jl. Mega Timur Dusun Mega Melati</t>
  </si>
  <si>
    <t>Darwin</t>
  </si>
  <si>
    <t>2</t>
  </si>
  <si>
    <t>240169</t>
  </si>
  <si>
    <t>240170</t>
  </si>
  <si>
    <t>240178</t>
  </si>
  <si>
    <t>240176</t>
  </si>
  <si>
    <t>240171</t>
  </si>
  <si>
    <t>240168</t>
  </si>
  <si>
    <t>240173</t>
  </si>
  <si>
    <t>240172</t>
  </si>
  <si>
    <t>240179</t>
  </si>
  <si>
    <t>240174</t>
  </si>
  <si>
    <t>240180</t>
  </si>
  <si>
    <t>230154</t>
  </si>
  <si>
    <t>230146</t>
  </si>
  <si>
    <t>230144</t>
  </si>
  <si>
    <t>230158</t>
  </si>
  <si>
    <t>230152</t>
  </si>
  <si>
    <t>230153</t>
  </si>
  <si>
    <t>230155</t>
  </si>
  <si>
    <t>230149</t>
  </si>
  <si>
    <t>230160</t>
  </si>
  <si>
    <t>230151</t>
  </si>
  <si>
    <t>230164</t>
  </si>
  <si>
    <t>230147</t>
  </si>
  <si>
    <t>05/05/2015</t>
  </si>
  <si>
    <t>16/02/2014</t>
  </si>
  <si>
    <t>220139</t>
  </si>
  <si>
    <t>220118</t>
  </si>
  <si>
    <t>220120</t>
  </si>
  <si>
    <t>220130</t>
  </si>
  <si>
    <t>220134</t>
  </si>
  <si>
    <t>220126</t>
  </si>
  <si>
    <t>220124</t>
  </si>
  <si>
    <t>220137</t>
  </si>
  <si>
    <t>220119</t>
  </si>
  <si>
    <t>220129</t>
  </si>
  <si>
    <t>220123</t>
  </si>
  <si>
    <t>220127</t>
  </si>
  <si>
    <t>220121</t>
  </si>
  <si>
    <t>220122</t>
  </si>
  <si>
    <t>220132</t>
  </si>
  <si>
    <t>220140</t>
  </si>
  <si>
    <t>210083</t>
  </si>
  <si>
    <t>210086</t>
  </si>
  <si>
    <t>210087</t>
  </si>
  <si>
    <t>210089</t>
  </si>
  <si>
    <t>210091</t>
  </si>
  <si>
    <t>210097</t>
  </si>
  <si>
    <t>210098</t>
  </si>
  <si>
    <t>210101</t>
  </si>
  <si>
    <t>210102</t>
  </si>
  <si>
    <t>210103</t>
  </si>
  <si>
    <t>210105</t>
  </si>
  <si>
    <t>210106</t>
  </si>
  <si>
    <t>210109</t>
  </si>
  <si>
    <t>210108</t>
  </si>
  <si>
    <t>210110</t>
  </si>
  <si>
    <t>200069</t>
  </si>
  <si>
    <t>200064</t>
  </si>
  <si>
    <t>200077</t>
  </si>
  <si>
    <t>200076</t>
  </si>
  <si>
    <t>210112</t>
  </si>
  <si>
    <t>200067</t>
  </si>
  <si>
    <t>210116</t>
  </si>
  <si>
    <t>200078</t>
  </si>
  <si>
    <t>200073</t>
  </si>
  <si>
    <t>200066</t>
  </si>
  <si>
    <t>200063</t>
  </si>
  <si>
    <t>200070</t>
  </si>
  <si>
    <t>190055</t>
  </si>
  <si>
    <t>190045</t>
  </si>
  <si>
    <t>190060</t>
  </si>
  <si>
    <t>190051</t>
  </si>
  <si>
    <t>190047</t>
  </si>
  <si>
    <t>210115</t>
  </si>
  <si>
    <t>190048</t>
  </si>
  <si>
    <t>190056</t>
  </si>
  <si>
    <t>230165</t>
  </si>
  <si>
    <t>190057</t>
  </si>
  <si>
    <t>190043</t>
  </si>
  <si>
    <t>190053</t>
  </si>
  <si>
    <t>190058</t>
  </si>
  <si>
    <t>190050</t>
  </si>
  <si>
    <t>210114</t>
  </si>
  <si>
    <t>190054</t>
  </si>
  <si>
    <t>190052</t>
  </si>
  <si>
    <t>250181</t>
  </si>
  <si>
    <t>Fatir Abrisam Magil</t>
  </si>
  <si>
    <t>Perdi Priono</t>
  </si>
  <si>
    <t>MIS Miftahussa'adah</t>
  </si>
  <si>
    <t>TAHUN PELAJARAN 2025/2026</t>
  </si>
  <si>
    <t>Zain Abdullah</t>
  </si>
  <si>
    <t>19/1/2017</t>
  </si>
  <si>
    <t>Dedi Darmadi</t>
  </si>
  <si>
    <t>SDN 1 Langgikima</t>
  </si>
  <si>
    <t>Pontianak, 14 Juli 2025</t>
  </si>
  <si>
    <t>Dusun Mega Jaya Gg Tani</t>
  </si>
  <si>
    <t>Assyifa Aulia Balqis</t>
  </si>
  <si>
    <t>Nur Muhammad Al Fatih</t>
  </si>
  <si>
    <t>Nur M. Awaludin</t>
  </si>
  <si>
    <t>Jl. Kebangkitan Nasional II Komplek Damai Sejahtera</t>
  </si>
  <si>
    <t>Humaira Putri Khairunnisa</t>
  </si>
  <si>
    <t>24/12/2018</t>
  </si>
  <si>
    <t>Husni</t>
  </si>
  <si>
    <t>Echa Affifa Anggrayta</t>
  </si>
  <si>
    <t>19/3/2019</t>
  </si>
  <si>
    <t>Perumahan Darussalam Anugerah No. B15 Mega Timur</t>
  </si>
  <si>
    <t>Muhammad Faris Attar</t>
  </si>
  <si>
    <t>Muhammad Agus</t>
  </si>
  <si>
    <t>Mega Timur, Parit Selatan Kec. Sungai Ambawang</t>
  </si>
  <si>
    <t>Petani</t>
  </si>
  <si>
    <t>Nadhifa Tyas Qonita</t>
  </si>
  <si>
    <t>31/7/2019</t>
  </si>
  <si>
    <t>Agung</t>
  </si>
  <si>
    <t>Jl. Parit Nanas</t>
  </si>
  <si>
    <t>Bilal Adhaqi</t>
  </si>
  <si>
    <t>23/8/2018</t>
  </si>
  <si>
    <t>Alianus</t>
  </si>
  <si>
    <t>Desa Mega Timur Parit Selatan</t>
  </si>
  <si>
    <t>Ahmad Khair Habibi</t>
  </si>
  <si>
    <t>Gusdianto</t>
  </si>
  <si>
    <t>Jl. Selat Panjang Gg. Wartawan I</t>
  </si>
  <si>
    <t>Irfan Afandi</t>
  </si>
  <si>
    <t>Suyetno</t>
  </si>
  <si>
    <t>3186076903</t>
  </si>
  <si>
    <t>Intan</t>
  </si>
  <si>
    <t>Maryadi</t>
  </si>
  <si>
    <t>Rumaisha</t>
  </si>
  <si>
    <t>Suryadi</t>
  </si>
  <si>
    <t>Jl. Poltekkes Komp. Pondok Marisa 4, No. A 24</t>
  </si>
  <si>
    <t>Muhammad Fais</t>
  </si>
  <si>
    <t>14/5/2017</t>
  </si>
  <si>
    <t>Edi Yanto</t>
  </si>
  <si>
    <t>Jl. Selat Panjang 2 Komp. Permata Golf No. G 16</t>
  </si>
  <si>
    <t>Dzakiyah Rafifah</t>
  </si>
  <si>
    <t>Yuyun</t>
  </si>
  <si>
    <t>Jl. Selat Panjang Gg. Karya Bhakti I No. 26</t>
  </si>
  <si>
    <t>Putri Bena Rizkiya</t>
  </si>
  <si>
    <t>Martina</t>
  </si>
  <si>
    <t>IRT</t>
  </si>
  <si>
    <t>Muhammad Alfatih</t>
  </si>
  <si>
    <t>19/6/2019</t>
  </si>
  <si>
    <t>Azzahra Ramadani</t>
  </si>
  <si>
    <t>13/5/2019</t>
  </si>
  <si>
    <t>Yasmin Kharimatun Nisa</t>
  </si>
  <si>
    <t>Ego Purwandi</t>
  </si>
  <si>
    <t>Dusun Mega Melati Parit Ganduk</t>
  </si>
  <si>
    <t>Maya Vahira</t>
  </si>
  <si>
    <t>24/1/2019</t>
  </si>
  <si>
    <t>Manti Herlina</t>
  </si>
  <si>
    <t>Perumahan Darussalam Anugrah No. A 8</t>
  </si>
  <si>
    <t>3198300868</t>
  </si>
  <si>
    <t>Akhtar Genta Wijaya</t>
  </si>
  <si>
    <t>25/9/2019</t>
  </si>
  <si>
    <t>Nur Syahid</t>
  </si>
  <si>
    <t>Cahya Kamila Oktariani</t>
  </si>
  <si>
    <t>13/10/2017</t>
  </si>
  <si>
    <t>Alexius Anyim</t>
  </si>
  <si>
    <t>Komplek Permata Malaya</t>
  </si>
  <si>
    <t>Qinar Raya Ramadhani</t>
  </si>
  <si>
    <t>30/5/2019</t>
  </si>
  <si>
    <t>Ridwan</t>
  </si>
  <si>
    <t>Mega Vitry Larasati</t>
  </si>
  <si>
    <t>Kediri</t>
  </si>
  <si>
    <t>24/2/2018</t>
  </si>
  <si>
    <t>Maskuri</t>
  </si>
  <si>
    <t>3191164901</t>
  </si>
  <si>
    <t>Alfatih Bara Wijaya</t>
  </si>
  <si>
    <t>20/8/2019</t>
  </si>
  <si>
    <t>Bohari</t>
  </si>
  <si>
    <t>Nama Ibu</t>
  </si>
  <si>
    <t>Sumisa</t>
  </si>
  <si>
    <t>Henik Indarti Dwi Sawitri</t>
  </si>
  <si>
    <t>Lilik Handayani</t>
  </si>
  <si>
    <t>Yuliana</t>
  </si>
  <si>
    <t>Nurhikmah</t>
  </si>
  <si>
    <t>Maini</t>
  </si>
  <si>
    <t>Emi Nurbani</t>
  </si>
  <si>
    <t>Suhariyanti</t>
  </si>
  <si>
    <t>Suci Maharani</t>
  </si>
  <si>
    <t>Lusiana</t>
  </si>
  <si>
    <t>Samiyeh</t>
  </si>
  <si>
    <t>Ria Elta Maulita</t>
  </si>
  <si>
    <t>Inawati</t>
  </si>
  <si>
    <t>Fitri Febrianti</t>
  </si>
  <si>
    <t>Vera Windaryati</t>
  </si>
  <si>
    <t>Ria Mustika</t>
  </si>
  <si>
    <t>Lili Mashuda</t>
  </si>
  <si>
    <t>Maria Suryani</t>
  </si>
  <si>
    <t>Julianti</t>
  </si>
  <si>
    <t>Patmah</t>
  </si>
  <si>
    <t>Heriyani</t>
  </si>
  <si>
    <t>Bidan</t>
  </si>
  <si>
    <t>Samsiyah</t>
  </si>
  <si>
    <t>Anisa Sapitri</t>
  </si>
  <si>
    <t>Marisa Damayanti</t>
  </si>
  <si>
    <t>Ica</t>
  </si>
  <si>
    <t>Dwi Agustini</t>
  </si>
  <si>
    <t>Saripah</t>
  </si>
  <si>
    <t>Nuriyana</t>
  </si>
  <si>
    <t>Dian Istarina</t>
  </si>
  <si>
    <t>Yustiana</t>
  </si>
  <si>
    <t>Rimah</t>
  </si>
  <si>
    <t>Ana Hariyanti</t>
  </si>
  <si>
    <t>Lina</t>
  </si>
  <si>
    <t>Rosita</t>
  </si>
  <si>
    <t>Maradila</t>
  </si>
  <si>
    <t>Asmara</t>
  </si>
  <si>
    <t>Libasul Jannah</t>
  </si>
  <si>
    <t>Agustina</t>
  </si>
  <si>
    <t>Mishel Vhebiyan</t>
  </si>
  <si>
    <t>Min Hasanah</t>
  </si>
  <si>
    <t>Gita Tauhida</t>
  </si>
  <si>
    <t>Ustati</t>
  </si>
  <si>
    <t>Siti Fatima</t>
  </si>
  <si>
    <t>Jubaidah</t>
  </si>
  <si>
    <t>Masnunah</t>
  </si>
  <si>
    <t>Dewi Puspita Sari</t>
  </si>
  <si>
    <t>Nursagita</t>
  </si>
  <si>
    <t>Lastri Musliyanti</t>
  </si>
  <si>
    <t>Siti Aisyah</t>
  </si>
  <si>
    <t>Siti Mukaromah</t>
  </si>
  <si>
    <t>Yeni Marlina</t>
  </si>
  <si>
    <t>Erlia</t>
  </si>
  <si>
    <t>Hastuti</t>
  </si>
  <si>
    <t>Yuni Rumaika</t>
  </si>
  <si>
    <t>Siti Yulaeka</t>
  </si>
  <si>
    <t>Nurjanah</t>
  </si>
  <si>
    <t>Munawwaroh</t>
  </si>
  <si>
    <t>Wardiah Marvita</t>
  </si>
  <si>
    <t>Agus Imania</t>
  </si>
  <si>
    <t>Kartini Yati</t>
  </si>
  <si>
    <t>Apria Purwaningrum</t>
  </si>
  <si>
    <t>Chairunnisa Amanda Putri</t>
  </si>
  <si>
    <t>Sulastri</t>
  </si>
  <si>
    <t>Lia Sri Mustika</t>
  </si>
  <si>
    <t>Siti Farida</t>
  </si>
  <si>
    <t>Fitri Febriyanti</t>
  </si>
  <si>
    <t>Yayanti</t>
  </si>
  <si>
    <t>Susi Susanti</t>
  </si>
  <si>
    <t>Hasmawati</t>
  </si>
  <si>
    <t>Siti Juwita</t>
  </si>
  <si>
    <t>Nurlaila Ali Efendi</t>
  </si>
  <si>
    <t>Mulyati</t>
  </si>
  <si>
    <t>Nini Handayani</t>
  </si>
  <si>
    <t>Erni</t>
  </si>
  <si>
    <t>Yulianti</t>
  </si>
  <si>
    <t>Siti Rohmah</t>
  </si>
  <si>
    <t>Nur Hikmah</t>
  </si>
  <si>
    <t>Reni</t>
  </si>
  <si>
    <t>Suliani</t>
  </si>
  <si>
    <t>Nur Asia</t>
  </si>
  <si>
    <t>Dwi Rahayu Supriyanti</t>
  </si>
  <si>
    <t>A Hermansyah</t>
  </si>
  <si>
    <t>Nur Safihra Shada</t>
  </si>
  <si>
    <t>3199229158</t>
  </si>
  <si>
    <t>3199177972</t>
  </si>
  <si>
    <t>3196651645</t>
  </si>
  <si>
    <t>3182706041</t>
  </si>
  <si>
    <t>3192459797</t>
  </si>
  <si>
    <t>3197755233</t>
  </si>
  <si>
    <t>3173541116</t>
  </si>
  <si>
    <t>3192105164</t>
  </si>
  <si>
    <t>3174437889</t>
  </si>
  <si>
    <t>3185525242</t>
  </si>
  <si>
    <t>3195991939</t>
  </si>
  <si>
    <t>26/03/2014</t>
  </si>
  <si>
    <t>30/8/2014</t>
  </si>
  <si>
    <t>19/7/2014</t>
  </si>
  <si>
    <t>23/3/2014</t>
  </si>
  <si>
    <t>16/5/2014</t>
  </si>
  <si>
    <t>3154970307</t>
  </si>
  <si>
    <t>13/3/2015</t>
  </si>
  <si>
    <t>17/1/2016</t>
  </si>
  <si>
    <t>26/10/2015</t>
  </si>
  <si>
    <t>17/9/2015</t>
  </si>
  <si>
    <t>16/11/2016</t>
  </si>
  <si>
    <t>18/3/2013</t>
  </si>
  <si>
    <t>26/4/2016</t>
  </si>
  <si>
    <t>29/4/2016</t>
  </si>
  <si>
    <t>28/10/2016</t>
  </si>
  <si>
    <t>17/8/2015</t>
  </si>
  <si>
    <t>19/7/2016</t>
  </si>
  <si>
    <t>18/4/2017</t>
  </si>
  <si>
    <t>13/3/2017</t>
  </si>
  <si>
    <t>25/12/2016</t>
  </si>
  <si>
    <t>25/7/2017</t>
  </si>
  <si>
    <t>25/2/2017</t>
  </si>
  <si>
    <t>23/12/2016</t>
  </si>
  <si>
    <t>25/3/2017</t>
  </si>
  <si>
    <t>18/9/2017</t>
  </si>
  <si>
    <t>15/9/2017</t>
  </si>
  <si>
    <t>15/8/2018</t>
  </si>
  <si>
    <t>14/3/2018</t>
  </si>
  <si>
    <t>20/5/2018</t>
  </si>
  <si>
    <t>25/7/2018</t>
  </si>
  <si>
    <t>3193964882</t>
  </si>
  <si>
    <t>TAHUN PELAJARAN 2026/2027</t>
  </si>
  <si>
    <t>Muhammad Ashraff</t>
  </si>
  <si>
    <t>18/09/2019</t>
  </si>
  <si>
    <t xml:space="preserve">Andi Alam Syah </t>
  </si>
  <si>
    <t xml:space="preserve">Anggah Era Pajera </t>
  </si>
  <si>
    <t xml:space="preserve">Clemira Hannum Balqis </t>
  </si>
  <si>
    <t>22/04/2019</t>
  </si>
  <si>
    <t>Yudan</t>
  </si>
  <si>
    <t>Nur Ana Distika</t>
  </si>
  <si>
    <t>Muhammad  Al Farizi</t>
  </si>
  <si>
    <t>15/12/2019</t>
  </si>
  <si>
    <t xml:space="preserve">Hendri </t>
  </si>
  <si>
    <t>Erlita</t>
  </si>
  <si>
    <t>Jl. Selat Panjang Komp. Permata Golf</t>
  </si>
  <si>
    <t>3196730098</t>
  </si>
  <si>
    <t>20/10/2019</t>
  </si>
  <si>
    <t>Juliandika</t>
  </si>
  <si>
    <t>Saiyah</t>
  </si>
  <si>
    <t>Sui. Tempayan, Komp. Perum Mess PT. BPK</t>
  </si>
  <si>
    <t>Hafiza Khairunnisa</t>
  </si>
  <si>
    <t>Luthfi Qoiruddin</t>
  </si>
  <si>
    <t>28/05/2020</t>
  </si>
  <si>
    <t>Agus Mahdi</t>
  </si>
  <si>
    <t>27/8/2020</t>
  </si>
  <si>
    <t>Bevry Novandy Elanda</t>
  </si>
  <si>
    <t>Camelia Ramadaniati Selasih</t>
  </si>
  <si>
    <t>Almeera Shaqueena Humaira</t>
  </si>
  <si>
    <t>Dususn Mega Lestari</t>
  </si>
  <si>
    <t>3202978413</t>
  </si>
  <si>
    <t>Suherman</t>
  </si>
  <si>
    <t>Jl. Selat Panjang Gg. Amal</t>
  </si>
  <si>
    <t>Mahadwal Rizieq Suherman</t>
  </si>
  <si>
    <t>Fatimah</t>
  </si>
  <si>
    <t>Muhammad Baihaqi Mubarrak</t>
  </si>
  <si>
    <t>Bonari</t>
  </si>
  <si>
    <t>Yani Firdausanti</t>
  </si>
  <si>
    <t>Sy. Muhammad Habibie Al Muthohar</t>
  </si>
  <si>
    <t>Sy. Rizal Hamid Al Muthohar</t>
  </si>
  <si>
    <t>Satpam</t>
  </si>
  <si>
    <t>Syf. Hafifah</t>
  </si>
  <si>
    <t>Jl. Selat Panjang 2 Komp. Permata Golf</t>
  </si>
  <si>
    <t>Alina Putri Humaira</t>
  </si>
  <si>
    <t>Bropi</t>
  </si>
  <si>
    <t>Utin Mitha Oktaviani</t>
  </si>
  <si>
    <t>Jl. Padat Karya Komp. Yolzida</t>
  </si>
  <si>
    <t>Keysya Aqqila Faizah</t>
  </si>
  <si>
    <t>Karawang</t>
  </si>
  <si>
    <t>16/01/2019</t>
  </si>
  <si>
    <t>Saprizal</t>
  </si>
  <si>
    <t>Juningsih</t>
  </si>
  <si>
    <t>3207827680</t>
  </si>
  <si>
    <t>26/7/2020</t>
  </si>
  <si>
    <t>Rio Chahyo Satrio</t>
  </si>
  <si>
    <t>Siska Wansih Ningsih</t>
  </si>
  <si>
    <t>Perum. Villa Mega Timur Estet 1 No. G 25</t>
  </si>
  <si>
    <t>Indah Khairina</t>
  </si>
  <si>
    <t>Hanania Syaqaila</t>
  </si>
  <si>
    <t>Basri Ogah</t>
  </si>
  <si>
    <t>Juliana</t>
  </si>
  <si>
    <t>Jl. Panjang Gg. Sepakat</t>
  </si>
  <si>
    <t>Syafira</t>
  </si>
  <si>
    <t>13/11/2019</t>
  </si>
  <si>
    <t>Mamduh</t>
  </si>
  <si>
    <t>Sofi'ah</t>
  </si>
  <si>
    <t>Jl. Selat Pajang Mega Timur</t>
  </si>
  <si>
    <t>Aisyah Naziya Almahyra</t>
  </si>
  <si>
    <t>Syamsul Aripin</t>
  </si>
  <si>
    <t>Uci Kurniawati</t>
  </si>
  <si>
    <t>Muhammad Zahirul Arifin</t>
  </si>
  <si>
    <t>20/04/2020</t>
  </si>
  <si>
    <t>Tirza Setya Aridha</t>
  </si>
  <si>
    <t>Rini Wahyuni</t>
  </si>
  <si>
    <t>3199169388</t>
  </si>
  <si>
    <t>28/12/2019</t>
  </si>
  <si>
    <t>Hamdani</t>
  </si>
  <si>
    <t>Astuti</t>
  </si>
  <si>
    <t>3201203332</t>
  </si>
  <si>
    <t>24/11/2020</t>
  </si>
  <si>
    <t>Muhammad Khabir</t>
  </si>
  <si>
    <t>Muhammad Kharan</t>
  </si>
  <si>
    <t>3195713430</t>
  </si>
  <si>
    <t>15/11/2019</t>
  </si>
  <si>
    <t>Fitriadi</t>
  </si>
  <si>
    <t>Widya Paramita</t>
  </si>
  <si>
    <t>Abdul Ghani</t>
  </si>
  <si>
    <t>22/12/2019</t>
  </si>
  <si>
    <t>Naya Assyifa</t>
  </si>
  <si>
    <t>Kasmadi</t>
  </si>
  <si>
    <t>3209660015</t>
  </si>
  <si>
    <t>Faizan Hafiz Attsauri</t>
  </si>
  <si>
    <t>Ziyanah Aulia</t>
  </si>
  <si>
    <t>Dastan Alfarezel</t>
  </si>
  <si>
    <t>17/11/2019</t>
  </si>
  <si>
    <t>Sapriadi</t>
  </si>
  <si>
    <t>Yanti Suryani</t>
  </si>
  <si>
    <t>Jl. Mega Timur Komp. Darussalam Anugrah</t>
  </si>
  <si>
    <t>3201273593</t>
  </si>
  <si>
    <t>25/4/2020</t>
  </si>
  <si>
    <t>Muhammad Kadafi</t>
  </si>
  <si>
    <t>Apriyan Ardella</t>
  </si>
  <si>
    <t>Jl. Dharma Putra Komp. Pondok Marisa 5</t>
  </si>
  <si>
    <t>Fatimah Azzahra</t>
  </si>
  <si>
    <t>Arumi Nurfadilah</t>
  </si>
  <si>
    <t>3208233829</t>
  </si>
  <si>
    <t>Dahlia</t>
  </si>
  <si>
    <t>Hana Khairiyah Hayunnisa</t>
  </si>
  <si>
    <t>Sakira</t>
  </si>
  <si>
    <t>23/06/2020</t>
  </si>
  <si>
    <t>Juldahlan</t>
  </si>
  <si>
    <t xml:space="preserve">Nelayan </t>
  </si>
  <si>
    <t>Linda</t>
  </si>
  <si>
    <t xml:space="preserve">Jl. Selat Panjang 2 Komp. Permata Golf </t>
  </si>
  <si>
    <t>Ahmad Ali Zain Badawi</t>
  </si>
  <si>
    <t>Adi Maulana</t>
  </si>
  <si>
    <t>Desi Liani</t>
  </si>
  <si>
    <t>Alinka Jingga Najeela</t>
  </si>
  <si>
    <t>3260301852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</si>
</sst>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>
    <font>
      <sz val="10"/>
      <name val="Arial"/>
      <charset val="1"/>
    </font>
    <font>
      <sz val="12"/>
      <name val="Times New Roman"/>
      <family val="1"/>
    </font>
    <font>
      <sz val="10"/>
      <name val="DejaVu Sans"/>
      <family val="2"/>
    </font>
    <font>
      <sz val="10"/>
      <name val="Arial"/>
      <family val="2"/>
    </font>
    <font>
      <sz val="11"/>
      <name val="Calibri"/>
      <family val="2"/>
    </font>
    <font>
      <u/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17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8" fontId="1" fillId="0" borderId="1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8" fillId="0" borderId="1" xfId="0" applyFont="1" applyBorder="1" applyAlignment="1">
      <alignment vertical="center"/>
    </xf>
    <xf numFmtId="0" fontId="1" fillId="0" borderId="3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9" fillId="0" borderId="1" xfId="0" applyFont="1" applyBorder="1" applyAlignment="1"/>
    <xf numFmtId="0" fontId="0" fillId="0" borderId="0" xfId="0" applyAlignment="1"/>
    <xf numFmtId="49" fontId="1" fillId="2" borderId="1" xfId="0" applyNumberFormat="1" applyFont="1" applyFill="1" applyBorder="1" applyAlignment="1" applyProtection="1">
      <alignment horizontal="right" vertical="center"/>
      <protection locked="0"/>
    </xf>
    <xf numFmtId="49" fontId="1" fillId="0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1" xfId="6" applyFont="1" applyBorder="1" applyAlignment="1">
      <alignment vertical="center"/>
    </xf>
    <xf numFmtId="0" fontId="8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14" fontId="8" fillId="0" borderId="1" xfId="0" applyNumberFormat="1" applyFont="1" applyFill="1" applyBorder="1" applyAlignment="1">
      <alignment horizontal="right"/>
    </xf>
    <xf numFmtId="14" fontId="8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Fill="1" applyBorder="1" applyAlignment="1"/>
    <xf numFmtId="164" fontId="1" fillId="0" borderId="1" xfId="4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8" fontId="1" fillId="0" borderId="2" xfId="0" quotePrefix="1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8" fillId="3" borderId="0" xfId="0" applyNumberFormat="1" applyFont="1" applyFill="1" applyBorder="1" applyAlignment="1">
      <alignment horizontal="right"/>
    </xf>
    <xf numFmtId="0" fontId="6" fillId="0" borderId="0" xfId="0" applyFont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18" fontId="1" fillId="0" borderId="1" xfId="0" quotePrefix="1" applyNumberFormat="1" applyFont="1" applyFill="1" applyBorder="1" applyAlignment="1">
      <alignment horizontal="center" vertical="center"/>
    </xf>
    <xf numFmtId="0" fontId="6" fillId="0" borderId="0" xfId="0" applyFont="1" applyFill="1"/>
    <xf numFmtId="14" fontId="1" fillId="0" borderId="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0" xfId="0" quotePrefix="1" applyNumberFormat="1" applyFont="1" applyAlignment="1">
      <alignment horizontal="center"/>
    </xf>
    <xf numFmtId="0" fontId="9" fillId="0" borderId="0" xfId="0" quotePrefix="1" applyFont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right"/>
    </xf>
    <xf numFmtId="49" fontId="1" fillId="4" borderId="1" xfId="0" applyNumberFormat="1" applyFont="1" applyFill="1" applyBorder="1" applyAlignment="1" applyProtection="1">
      <alignment horizontal="right" vertical="center"/>
      <protection locked="0"/>
    </xf>
    <xf numFmtId="0" fontId="8" fillId="5" borderId="1" xfId="0" applyFont="1" applyFill="1" applyBorder="1"/>
    <xf numFmtId="14" fontId="8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quotePrefix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/>
    </xf>
    <xf numFmtId="0" fontId="8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/>
    <xf numFmtId="0" fontId="1" fillId="2" borderId="1" xfId="7" applyFont="1" applyFill="1" applyBorder="1" applyAlignment="1">
      <alignment horizontal="left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9" fillId="0" borderId="0" xfId="0" quotePrefix="1" applyFont="1" applyBorder="1" applyAlignment="1">
      <alignment horizontal="center" vertical="center"/>
    </xf>
    <xf numFmtId="0" fontId="6" fillId="0" borderId="0" xfId="0" applyFont="1" applyBorder="1"/>
    <xf numFmtId="0" fontId="13" fillId="0" borderId="0" xfId="0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1" xfId="0" applyFont="1" applyBorder="1"/>
    <xf numFmtId="18" fontId="1" fillId="0" borderId="1" xfId="1" quotePrefix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3" fillId="0" borderId="4" xfId="0" applyFont="1" applyBorder="1" applyAlignment="1">
      <alignment vertical="center"/>
    </xf>
  </cellXfs>
  <cellStyles count="8">
    <cellStyle name="Normal" xfId="0" builtinId="0"/>
    <cellStyle name="Normal 2 2" xfId="1" xr:uid="{00000000-0005-0000-0000-000001000000}"/>
    <cellStyle name="Normal 2 3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_Sheet1" xfId="7" xr:uid="{00000000-0005-0000-0000-000007000000}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CF48-A001-48B5-8B7E-A9449F2F8319}">
  <dimension ref="A1:S46"/>
  <sheetViews>
    <sheetView tabSelected="1" zoomScale="70" zoomScaleNormal="70" workbookViewId="0">
      <selection activeCell="I53" sqref="I53"/>
    </sheetView>
  </sheetViews>
  <sheetFormatPr defaultRowHeight="12.5"/>
  <cols>
    <col min="2" max="2" width="11.453125" bestFit="1" customWidth="1"/>
    <col min="3" max="3" width="14.6328125" customWidth="1"/>
    <col min="4" max="4" width="34.36328125" bestFit="1" customWidth="1"/>
    <col min="6" max="6" width="11.26953125" bestFit="1" customWidth="1"/>
    <col min="7" max="7" width="13.08984375" bestFit="1" customWidth="1"/>
    <col min="9" max="9" width="27.453125" bestFit="1" customWidth="1"/>
    <col min="12" max="12" width="27.08984375" bestFit="1" customWidth="1"/>
    <col min="15" max="15" width="14.6328125" bestFit="1" customWidth="1"/>
    <col min="16" max="16" width="10.453125" bestFit="1" customWidth="1"/>
    <col min="18" max="18" width="41.81640625" customWidth="1"/>
  </cols>
  <sheetData>
    <row r="1" spans="1:19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</row>
    <row r="2" spans="1:19" ht="15.5">
      <c r="A2" s="145" t="s">
        <v>814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19" ht="15.5">
      <c r="A3" s="1"/>
      <c r="B3" s="1"/>
      <c r="C3" s="1"/>
      <c r="D3" s="1"/>
      <c r="E3" s="1"/>
      <c r="F3" s="81"/>
      <c r="G3" s="141"/>
      <c r="H3" s="1"/>
      <c r="I3" s="14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>
      <c r="A4" s="1" t="s">
        <v>1</v>
      </c>
      <c r="B4" s="1"/>
      <c r="C4" s="1" t="s">
        <v>108</v>
      </c>
      <c r="D4" s="1"/>
      <c r="E4" s="1"/>
      <c r="F4" s="81"/>
      <c r="G4" s="141"/>
      <c r="H4" s="1"/>
      <c r="I4" s="14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>
      <c r="A5" s="1" t="s">
        <v>2</v>
      </c>
      <c r="B5" s="1"/>
      <c r="C5" s="6" t="s">
        <v>109</v>
      </c>
      <c r="D5" s="6"/>
      <c r="E5" s="1"/>
      <c r="F5" s="81"/>
      <c r="G5" s="141"/>
      <c r="H5" s="1"/>
      <c r="I5" s="14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>
      <c r="A6" s="1" t="s">
        <v>3</v>
      </c>
      <c r="B6" s="1"/>
      <c r="C6" s="1" t="s">
        <v>375</v>
      </c>
      <c r="D6" s="1"/>
      <c r="E6" s="1"/>
      <c r="F6" s="81"/>
      <c r="G6" s="141"/>
      <c r="H6" s="1"/>
      <c r="I6" s="14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>
      <c r="A7" s="1" t="s">
        <v>4</v>
      </c>
      <c r="B7" s="1"/>
      <c r="C7" s="1" t="s">
        <v>110</v>
      </c>
      <c r="D7" s="1"/>
      <c r="E7" s="1"/>
      <c r="F7" s="81"/>
      <c r="G7" s="141"/>
      <c r="H7" s="1"/>
      <c r="I7" s="14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>
      <c r="A8" s="1"/>
      <c r="B8" s="1"/>
      <c r="C8" s="1"/>
      <c r="D8" s="1"/>
      <c r="E8" s="1"/>
      <c r="F8" s="81"/>
      <c r="G8" s="141"/>
      <c r="H8" s="1"/>
      <c r="I8" s="14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5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44" t="s">
        <v>13</v>
      </c>
      <c r="J9" s="144"/>
      <c r="K9" s="144"/>
      <c r="L9" s="144"/>
      <c r="M9" s="144"/>
      <c r="N9" s="144"/>
      <c r="O9" s="144" t="s">
        <v>17</v>
      </c>
      <c r="P9" s="144" t="s">
        <v>21</v>
      </c>
      <c r="Q9" s="144"/>
      <c r="R9" s="144" t="s">
        <v>24</v>
      </c>
      <c r="S9" s="144" t="s">
        <v>25</v>
      </c>
    </row>
    <row r="10" spans="1:19" ht="15.5">
      <c r="A10" s="144"/>
      <c r="B10" s="142" t="s">
        <v>7</v>
      </c>
      <c r="C10" s="142" t="s">
        <v>8</v>
      </c>
      <c r="D10" s="146"/>
      <c r="E10" s="144"/>
      <c r="F10" s="142" t="s">
        <v>27</v>
      </c>
      <c r="G10" s="142" t="s">
        <v>28</v>
      </c>
      <c r="H10" s="144"/>
      <c r="I10" s="142" t="s">
        <v>14</v>
      </c>
      <c r="J10" s="142" t="s">
        <v>15</v>
      </c>
      <c r="K10" s="142" t="s">
        <v>16</v>
      </c>
      <c r="L10" s="142" t="s">
        <v>687</v>
      </c>
      <c r="M10" s="142" t="s">
        <v>15</v>
      </c>
      <c r="N10" s="142" t="s">
        <v>16</v>
      </c>
      <c r="O10" s="144"/>
      <c r="P10" s="142" t="s">
        <v>22</v>
      </c>
      <c r="Q10" s="142" t="s">
        <v>23</v>
      </c>
      <c r="R10" s="144"/>
      <c r="S10" s="144"/>
    </row>
    <row r="11" spans="1:19" ht="15.5">
      <c r="A11" s="142">
        <v>1</v>
      </c>
      <c r="B11" s="142">
        <f t="shared" ref="B11:K11" si="0">A11+1</f>
        <v>2</v>
      </c>
      <c r="C11" s="142">
        <f t="shared" si="0"/>
        <v>3</v>
      </c>
      <c r="D11" s="142">
        <f t="shared" si="0"/>
        <v>4</v>
      </c>
      <c r="E11" s="142">
        <f t="shared" si="0"/>
        <v>5</v>
      </c>
      <c r="F11" s="142">
        <f t="shared" si="0"/>
        <v>6</v>
      </c>
      <c r="G11" s="142">
        <f t="shared" si="0"/>
        <v>7</v>
      </c>
      <c r="H11" s="142">
        <f t="shared" si="0"/>
        <v>8</v>
      </c>
      <c r="I11" s="142">
        <f t="shared" si="0"/>
        <v>9</v>
      </c>
      <c r="J11" s="142">
        <f t="shared" si="0"/>
        <v>10</v>
      </c>
      <c r="K11" s="142">
        <f t="shared" si="0"/>
        <v>11</v>
      </c>
      <c r="L11" s="142">
        <v>12</v>
      </c>
      <c r="M11" s="142">
        <v>13</v>
      </c>
      <c r="N11" s="142">
        <v>14</v>
      </c>
      <c r="O11" s="142">
        <v>15</v>
      </c>
      <c r="P11" s="142">
        <v>16</v>
      </c>
      <c r="Q11" s="142">
        <v>17</v>
      </c>
      <c r="R11" s="142">
        <f>Q11+1</f>
        <v>18</v>
      </c>
      <c r="S11" s="142">
        <f>R11+1</f>
        <v>19</v>
      </c>
    </row>
    <row r="12" spans="1:19" ht="15.5">
      <c r="A12" s="142">
        <v>1</v>
      </c>
      <c r="B12" s="142">
        <v>260214</v>
      </c>
      <c r="C12" s="3"/>
      <c r="D12" s="46" t="s">
        <v>898</v>
      </c>
      <c r="E12" s="36" t="s">
        <v>26</v>
      </c>
      <c r="F12" s="143" t="s">
        <v>37</v>
      </c>
      <c r="G12" s="77" t="s">
        <v>899</v>
      </c>
      <c r="H12" s="142" t="s">
        <v>29</v>
      </c>
      <c r="I12" s="5" t="s">
        <v>197</v>
      </c>
      <c r="J12" s="142" t="s">
        <v>36</v>
      </c>
      <c r="K12" s="142" t="s">
        <v>42</v>
      </c>
      <c r="L12" s="5" t="s">
        <v>762</v>
      </c>
      <c r="M12" s="142" t="s">
        <v>40</v>
      </c>
      <c r="N12" s="142" t="s">
        <v>656</v>
      </c>
      <c r="O12" s="142" t="s">
        <v>76</v>
      </c>
      <c r="P12" s="10" t="s">
        <v>376</v>
      </c>
      <c r="Q12" s="142">
        <v>2026</v>
      </c>
      <c r="R12" s="46" t="s">
        <v>359</v>
      </c>
      <c r="S12" s="142"/>
    </row>
    <row r="13" spans="1:19" ht="15.5">
      <c r="A13" s="142">
        <v>2</v>
      </c>
      <c r="B13" s="142">
        <v>260232</v>
      </c>
      <c r="C13" s="3"/>
      <c r="D13" s="6" t="s">
        <v>926</v>
      </c>
      <c r="E13" s="36" t="s">
        <v>26</v>
      </c>
      <c r="F13" s="143"/>
      <c r="G13" s="77"/>
      <c r="H13" s="142" t="s">
        <v>29</v>
      </c>
      <c r="I13" s="5"/>
      <c r="J13" s="142"/>
      <c r="K13" s="142"/>
      <c r="L13" s="5"/>
      <c r="M13" s="142"/>
      <c r="N13" s="142"/>
      <c r="O13" s="142"/>
      <c r="P13" s="10"/>
      <c r="Q13" s="142"/>
      <c r="R13" s="46" t="s">
        <v>79</v>
      </c>
      <c r="S13" s="142"/>
    </row>
    <row r="14" spans="1:19" ht="15.5">
      <c r="A14" s="142">
        <v>3</v>
      </c>
      <c r="B14" s="142">
        <v>260209</v>
      </c>
      <c r="C14" s="3"/>
      <c r="D14" s="5" t="s">
        <v>879</v>
      </c>
      <c r="E14" s="142" t="s">
        <v>30</v>
      </c>
      <c r="F14" s="142" t="s">
        <v>37</v>
      </c>
      <c r="G14" s="104">
        <v>43809</v>
      </c>
      <c r="H14" s="142" t="s">
        <v>29</v>
      </c>
      <c r="I14" s="5" t="s">
        <v>880</v>
      </c>
      <c r="J14" s="142" t="s">
        <v>38</v>
      </c>
      <c r="K14" s="142" t="s">
        <v>42</v>
      </c>
      <c r="L14" s="5" t="s">
        <v>881</v>
      </c>
      <c r="M14" s="142" t="s">
        <v>38</v>
      </c>
      <c r="N14" s="142" t="s">
        <v>656</v>
      </c>
      <c r="O14" s="142" t="s">
        <v>76</v>
      </c>
      <c r="P14" s="10" t="s">
        <v>376</v>
      </c>
      <c r="Q14" s="142">
        <v>2026</v>
      </c>
      <c r="R14" s="170" t="s">
        <v>188</v>
      </c>
      <c r="S14" s="142"/>
    </row>
    <row r="15" spans="1:19" ht="15.5">
      <c r="A15" s="142">
        <v>4</v>
      </c>
      <c r="B15" s="142">
        <v>260223</v>
      </c>
      <c r="C15" s="3">
        <v>3205950618</v>
      </c>
      <c r="D15" s="46" t="s">
        <v>855</v>
      </c>
      <c r="E15" s="36" t="s">
        <v>30</v>
      </c>
      <c r="F15" s="143" t="s">
        <v>37</v>
      </c>
      <c r="G15" s="77">
        <v>43864</v>
      </c>
      <c r="H15" s="142" t="s">
        <v>29</v>
      </c>
      <c r="I15" s="5" t="s">
        <v>856</v>
      </c>
      <c r="J15" s="142" t="s">
        <v>38</v>
      </c>
      <c r="K15" s="142" t="s">
        <v>42</v>
      </c>
      <c r="L15" s="5" t="s">
        <v>857</v>
      </c>
      <c r="M15" s="142" t="s">
        <v>400</v>
      </c>
      <c r="N15" s="142" t="s">
        <v>656</v>
      </c>
      <c r="O15" s="142" t="s">
        <v>76</v>
      </c>
      <c r="P15" s="10" t="s">
        <v>376</v>
      </c>
      <c r="Q15" s="142">
        <v>2026</v>
      </c>
      <c r="R15" s="46" t="s">
        <v>858</v>
      </c>
      <c r="S15" s="142"/>
    </row>
    <row r="16" spans="1:19" ht="15.5">
      <c r="A16" s="142">
        <v>5</v>
      </c>
      <c r="B16" s="142">
        <v>260207</v>
      </c>
      <c r="C16" s="155">
        <v>3203504287</v>
      </c>
      <c r="D16" s="178" t="s">
        <v>929</v>
      </c>
      <c r="E16" s="160" t="s">
        <v>30</v>
      </c>
      <c r="F16" s="160" t="s">
        <v>37</v>
      </c>
      <c r="G16" s="161">
        <v>44083</v>
      </c>
      <c r="H16" s="142" t="s">
        <v>29</v>
      </c>
      <c r="I16" s="176" t="s">
        <v>927</v>
      </c>
      <c r="J16" s="142"/>
      <c r="K16" s="142"/>
      <c r="L16" s="176" t="s">
        <v>928</v>
      </c>
      <c r="M16" s="142"/>
      <c r="N16" s="142"/>
      <c r="O16" s="142"/>
      <c r="P16" s="10"/>
      <c r="Q16" s="142"/>
      <c r="R16" s="176" t="s">
        <v>80</v>
      </c>
      <c r="S16" s="142"/>
    </row>
    <row r="17" spans="1:19" ht="15.5" customHeight="1">
      <c r="A17" s="142">
        <v>6</v>
      </c>
      <c r="B17" s="142">
        <v>260206</v>
      </c>
      <c r="C17" s="3" t="s">
        <v>930</v>
      </c>
      <c r="D17" s="174" t="s">
        <v>840</v>
      </c>
      <c r="E17" s="156" t="s">
        <v>30</v>
      </c>
      <c r="F17" s="142" t="s">
        <v>37</v>
      </c>
      <c r="G17" s="104" t="s">
        <v>837</v>
      </c>
      <c r="H17" s="158" t="s">
        <v>29</v>
      </c>
      <c r="I17" s="176" t="s">
        <v>838</v>
      </c>
      <c r="J17" s="158" t="s">
        <v>38</v>
      </c>
      <c r="K17" s="158" t="s">
        <v>42</v>
      </c>
      <c r="L17" s="176" t="s">
        <v>839</v>
      </c>
      <c r="M17" s="158" t="s">
        <v>38</v>
      </c>
      <c r="N17" s="158" t="s">
        <v>656</v>
      </c>
      <c r="O17" s="4" t="s">
        <v>76</v>
      </c>
      <c r="P17" s="74" t="s">
        <v>376</v>
      </c>
      <c r="Q17" s="142">
        <v>2026</v>
      </c>
      <c r="R17" s="171" t="s">
        <v>841</v>
      </c>
      <c r="S17" s="142"/>
    </row>
    <row r="18" spans="1:19" ht="15.5">
      <c r="A18" s="142">
        <v>7</v>
      </c>
      <c r="B18" s="142">
        <v>260219</v>
      </c>
      <c r="C18" s="174">
        <v>3191588555</v>
      </c>
      <c r="D18" s="174" t="s">
        <v>916</v>
      </c>
      <c r="E18" s="142" t="s">
        <v>30</v>
      </c>
      <c r="F18" s="157" t="s">
        <v>37</v>
      </c>
      <c r="G18" s="104">
        <v>43649</v>
      </c>
      <c r="H18" s="158" t="s">
        <v>29</v>
      </c>
      <c r="I18" s="177" t="s">
        <v>192</v>
      </c>
      <c r="J18" s="142" t="s">
        <v>40</v>
      </c>
      <c r="K18" s="142" t="s">
        <v>42</v>
      </c>
      <c r="L18" s="5" t="s">
        <v>719</v>
      </c>
      <c r="M18" s="142" t="s">
        <v>36</v>
      </c>
      <c r="N18" s="142" t="s">
        <v>656</v>
      </c>
      <c r="O18" s="142" t="s">
        <v>76</v>
      </c>
      <c r="P18" s="10" t="s">
        <v>376</v>
      </c>
      <c r="Q18" s="142">
        <v>2026</v>
      </c>
      <c r="R18" s="46" t="s">
        <v>78</v>
      </c>
      <c r="S18" s="4"/>
    </row>
    <row r="19" spans="1:19" ht="15.5">
      <c r="A19" s="142">
        <v>8</v>
      </c>
      <c r="B19" s="142">
        <v>260234</v>
      </c>
      <c r="C19" s="4">
        <v>3190333246</v>
      </c>
      <c r="D19" s="5" t="s">
        <v>819</v>
      </c>
      <c r="E19" s="142" t="s">
        <v>30</v>
      </c>
      <c r="F19" s="143" t="s">
        <v>37</v>
      </c>
      <c r="G19" s="142" t="s">
        <v>820</v>
      </c>
      <c r="H19" s="142" t="s">
        <v>29</v>
      </c>
      <c r="I19" s="5" t="s">
        <v>821</v>
      </c>
      <c r="J19" s="142" t="s">
        <v>40</v>
      </c>
      <c r="K19" s="142" t="s">
        <v>42</v>
      </c>
      <c r="L19" s="5" t="s">
        <v>822</v>
      </c>
      <c r="M19" s="142"/>
      <c r="N19" s="142" t="s">
        <v>656</v>
      </c>
      <c r="O19" s="142" t="s">
        <v>76</v>
      </c>
      <c r="P19" s="10" t="s">
        <v>376</v>
      </c>
      <c r="Q19" s="142">
        <v>2026</v>
      </c>
      <c r="R19" s="5" t="s">
        <v>78</v>
      </c>
      <c r="S19" s="142"/>
    </row>
    <row r="20" spans="1:19" ht="15.5">
      <c r="A20" s="142">
        <v>9</v>
      </c>
      <c r="B20" s="142">
        <v>260213</v>
      </c>
      <c r="C20" s="142"/>
      <c r="D20" s="5" t="s">
        <v>905</v>
      </c>
      <c r="E20" s="142" t="s">
        <v>26</v>
      </c>
      <c r="F20" s="142" t="s">
        <v>37</v>
      </c>
      <c r="G20" s="104" t="s">
        <v>906</v>
      </c>
      <c r="H20" s="142" t="s">
        <v>29</v>
      </c>
      <c r="I20" s="5" t="s">
        <v>907</v>
      </c>
      <c r="J20" s="142" t="s">
        <v>400</v>
      </c>
      <c r="K20" s="142" t="s">
        <v>42</v>
      </c>
      <c r="L20" s="5" t="s">
        <v>908</v>
      </c>
      <c r="M20" s="142" t="s">
        <v>43</v>
      </c>
      <c r="N20" s="142" t="s">
        <v>73</v>
      </c>
      <c r="O20" s="142" t="s">
        <v>76</v>
      </c>
      <c r="P20" s="10" t="s">
        <v>376</v>
      </c>
      <c r="Q20" s="142">
        <v>2026</v>
      </c>
      <c r="R20" s="5" t="s">
        <v>909</v>
      </c>
      <c r="S20" s="4"/>
    </row>
    <row r="21" spans="1:19" ht="15.5">
      <c r="A21" s="142">
        <v>10</v>
      </c>
      <c r="B21" s="142">
        <v>260212</v>
      </c>
      <c r="C21" s="142" t="s">
        <v>894</v>
      </c>
      <c r="D21" s="174" t="s">
        <v>903</v>
      </c>
      <c r="E21" s="156" t="s">
        <v>26</v>
      </c>
      <c r="F21" s="157" t="s">
        <v>37</v>
      </c>
      <c r="G21" s="104" t="s">
        <v>895</v>
      </c>
      <c r="H21" s="158" t="s">
        <v>29</v>
      </c>
      <c r="I21" s="176" t="s">
        <v>896</v>
      </c>
      <c r="J21" s="158" t="s">
        <v>40</v>
      </c>
      <c r="K21" s="158" t="s">
        <v>42</v>
      </c>
      <c r="L21" s="176" t="s">
        <v>897</v>
      </c>
      <c r="M21" s="158" t="s">
        <v>38</v>
      </c>
      <c r="N21" s="158" t="s">
        <v>656</v>
      </c>
      <c r="O21" s="142" t="s">
        <v>76</v>
      </c>
      <c r="P21" s="10" t="s">
        <v>376</v>
      </c>
      <c r="Q21" s="142">
        <v>2026</v>
      </c>
      <c r="R21" s="170" t="s">
        <v>149</v>
      </c>
      <c r="S21" s="142"/>
    </row>
    <row r="22" spans="1:19" ht="18" customHeight="1">
      <c r="A22" s="142">
        <v>11</v>
      </c>
      <c r="B22" s="142">
        <v>260216</v>
      </c>
      <c r="C22" s="142" t="s">
        <v>910</v>
      </c>
      <c r="D22" s="174" t="s">
        <v>915</v>
      </c>
      <c r="E22" s="156" t="s">
        <v>30</v>
      </c>
      <c r="F22" s="157" t="s">
        <v>37</v>
      </c>
      <c r="G22" s="104" t="s">
        <v>911</v>
      </c>
      <c r="H22" s="158" t="s">
        <v>29</v>
      </c>
      <c r="I22" s="176" t="s">
        <v>912</v>
      </c>
      <c r="J22" s="158" t="s">
        <v>43</v>
      </c>
      <c r="K22" s="158" t="s">
        <v>42</v>
      </c>
      <c r="L22" s="176" t="s">
        <v>913</v>
      </c>
      <c r="M22" s="158" t="s">
        <v>38</v>
      </c>
      <c r="N22" s="158" t="s">
        <v>656</v>
      </c>
      <c r="O22" s="142" t="s">
        <v>76</v>
      </c>
      <c r="P22" s="10" t="s">
        <v>376</v>
      </c>
      <c r="Q22" s="142">
        <v>2026</v>
      </c>
      <c r="R22" s="173" t="s">
        <v>914</v>
      </c>
      <c r="S22" s="142"/>
    </row>
    <row r="23" spans="1:19" ht="14" customHeight="1">
      <c r="A23" s="142">
        <v>12</v>
      </c>
      <c r="B23" s="142">
        <v>260208</v>
      </c>
      <c r="C23" s="142" t="s">
        <v>828</v>
      </c>
      <c r="D23" s="174" t="s">
        <v>833</v>
      </c>
      <c r="E23" s="156" t="s">
        <v>30</v>
      </c>
      <c r="F23" s="157" t="s">
        <v>37</v>
      </c>
      <c r="G23" s="104" t="s">
        <v>829</v>
      </c>
      <c r="H23" s="158" t="s">
        <v>29</v>
      </c>
      <c r="I23" s="176" t="s">
        <v>830</v>
      </c>
      <c r="J23" s="158" t="s">
        <v>38</v>
      </c>
      <c r="K23" s="158" t="s">
        <v>42</v>
      </c>
      <c r="L23" s="176" t="s">
        <v>831</v>
      </c>
      <c r="M23" s="158" t="s">
        <v>38</v>
      </c>
      <c r="N23" s="158" t="s">
        <v>656</v>
      </c>
      <c r="O23" s="142" t="s">
        <v>76</v>
      </c>
      <c r="P23" s="175" t="s">
        <v>376</v>
      </c>
      <c r="Q23" s="142">
        <v>2026</v>
      </c>
      <c r="R23" s="170" t="s">
        <v>832</v>
      </c>
      <c r="S23" s="142"/>
    </row>
    <row r="24" spans="1:19" ht="15.5">
      <c r="A24" s="142">
        <v>13</v>
      </c>
      <c r="B24" s="142">
        <v>260229</v>
      </c>
      <c r="C24" s="159" t="s">
        <v>917</v>
      </c>
      <c r="D24" s="174" t="s">
        <v>919</v>
      </c>
      <c r="E24" s="156" t="s">
        <v>30</v>
      </c>
      <c r="F24" s="157" t="s">
        <v>35</v>
      </c>
      <c r="G24" s="104">
        <v>44171</v>
      </c>
      <c r="H24" s="158" t="s">
        <v>29</v>
      </c>
      <c r="I24" s="176" t="s">
        <v>170</v>
      </c>
      <c r="J24" s="158" t="s">
        <v>38</v>
      </c>
      <c r="K24" s="158" t="s">
        <v>39</v>
      </c>
      <c r="L24" s="176" t="s">
        <v>918</v>
      </c>
      <c r="M24" s="158" t="s">
        <v>38</v>
      </c>
      <c r="N24" s="158" t="s">
        <v>656</v>
      </c>
      <c r="O24" s="142" t="s">
        <v>76</v>
      </c>
      <c r="P24" s="10" t="s">
        <v>376</v>
      </c>
      <c r="Q24" s="142">
        <v>2026</v>
      </c>
      <c r="R24" s="46" t="s">
        <v>146</v>
      </c>
      <c r="S24" s="142"/>
    </row>
    <row r="25" spans="1:19" ht="15.5">
      <c r="A25" s="142">
        <v>14</v>
      </c>
      <c r="B25" s="142">
        <v>260224</v>
      </c>
      <c r="C25" s="3"/>
      <c r="D25" s="5" t="s">
        <v>870</v>
      </c>
      <c r="E25" s="142" t="s">
        <v>30</v>
      </c>
      <c r="F25" s="142" t="s">
        <v>37</v>
      </c>
      <c r="G25" s="104">
        <v>43952</v>
      </c>
      <c r="H25" s="142" t="s">
        <v>29</v>
      </c>
      <c r="I25" s="5" t="s">
        <v>871</v>
      </c>
      <c r="J25" s="142" t="s">
        <v>40</v>
      </c>
      <c r="K25" s="142" t="s">
        <v>39</v>
      </c>
      <c r="L25" s="5" t="s">
        <v>872</v>
      </c>
      <c r="M25" s="142" t="s">
        <v>40</v>
      </c>
      <c r="N25" s="142" t="s">
        <v>656</v>
      </c>
      <c r="O25" s="142" t="s">
        <v>76</v>
      </c>
      <c r="P25" s="10" t="s">
        <v>376</v>
      </c>
      <c r="Q25" s="142">
        <v>2026</v>
      </c>
      <c r="R25" s="5" t="s">
        <v>873</v>
      </c>
      <c r="S25" s="142"/>
    </row>
    <row r="26" spans="1:19" ht="15.5">
      <c r="A26" s="142">
        <v>15</v>
      </c>
      <c r="B26" s="142">
        <v>260225</v>
      </c>
      <c r="C26" s="3" t="s">
        <v>864</v>
      </c>
      <c r="D26" s="174" t="s">
        <v>869</v>
      </c>
      <c r="E26" s="156" t="s">
        <v>30</v>
      </c>
      <c r="F26" s="157" t="s">
        <v>35</v>
      </c>
      <c r="G26" s="104" t="s">
        <v>865</v>
      </c>
      <c r="H26" s="158" t="s">
        <v>29</v>
      </c>
      <c r="I26" s="176" t="s">
        <v>866</v>
      </c>
      <c r="J26" s="158" t="s">
        <v>38</v>
      </c>
      <c r="K26" s="158" t="s">
        <v>42</v>
      </c>
      <c r="L26" s="176" t="s">
        <v>867</v>
      </c>
      <c r="M26" s="158" t="s">
        <v>36</v>
      </c>
      <c r="N26" s="158" t="s">
        <v>656</v>
      </c>
      <c r="O26" s="142" t="s">
        <v>76</v>
      </c>
      <c r="P26" s="10" t="s">
        <v>376</v>
      </c>
      <c r="Q26" s="142">
        <v>2026</v>
      </c>
      <c r="R26" s="173" t="s">
        <v>868</v>
      </c>
      <c r="S26" s="142"/>
    </row>
    <row r="27" spans="1:19" ht="15.5">
      <c r="A27" s="142">
        <v>16</v>
      </c>
      <c r="B27" s="142">
        <v>260227</v>
      </c>
      <c r="C27" s="3"/>
      <c r="D27" s="46" t="s">
        <v>859</v>
      </c>
      <c r="E27" s="36" t="s">
        <v>30</v>
      </c>
      <c r="F27" s="143" t="s">
        <v>860</v>
      </c>
      <c r="G27" s="77" t="s">
        <v>861</v>
      </c>
      <c r="H27" s="142" t="s">
        <v>29</v>
      </c>
      <c r="I27" s="5" t="s">
        <v>862</v>
      </c>
      <c r="J27" s="142" t="s">
        <v>400</v>
      </c>
      <c r="K27" s="142" t="s">
        <v>42</v>
      </c>
      <c r="L27" s="5" t="s">
        <v>863</v>
      </c>
      <c r="M27" s="142" t="s">
        <v>40</v>
      </c>
      <c r="N27" s="142" t="s">
        <v>656</v>
      </c>
      <c r="O27" s="142" t="s">
        <v>76</v>
      </c>
      <c r="P27" s="10" t="s">
        <v>376</v>
      </c>
      <c r="Q27" s="142">
        <v>2026</v>
      </c>
      <c r="R27" s="45" t="s">
        <v>844</v>
      </c>
      <c r="S27" s="142"/>
    </row>
    <row r="28" spans="1:19" ht="15.5">
      <c r="A28" s="142">
        <v>17</v>
      </c>
      <c r="B28" s="142">
        <v>260221</v>
      </c>
      <c r="C28" s="3"/>
      <c r="D28" s="5" t="s">
        <v>834</v>
      </c>
      <c r="E28" s="142" t="s">
        <v>26</v>
      </c>
      <c r="F28" s="142" t="s">
        <v>37</v>
      </c>
      <c r="G28" s="142" t="s">
        <v>835</v>
      </c>
      <c r="H28" s="142" t="s">
        <v>29</v>
      </c>
      <c r="I28" s="5" t="s">
        <v>836</v>
      </c>
      <c r="J28" s="142" t="s">
        <v>33</v>
      </c>
      <c r="K28" s="142" t="s">
        <v>33</v>
      </c>
      <c r="L28" s="5" t="s">
        <v>714</v>
      </c>
      <c r="M28" s="142" t="s">
        <v>38</v>
      </c>
      <c r="N28" s="142" t="s">
        <v>42</v>
      </c>
      <c r="O28" s="142" t="s">
        <v>76</v>
      </c>
      <c r="P28" s="10" t="s">
        <v>376</v>
      </c>
      <c r="Q28" s="142">
        <v>2026</v>
      </c>
      <c r="R28" s="5" t="s">
        <v>426</v>
      </c>
      <c r="S28" s="142"/>
    </row>
    <row r="29" spans="1:19" ht="15.5">
      <c r="A29" s="142">
        <v>18</v>
      </c>
      <c r="B29" s="142">
        <v>260226</v>
      </c>
      <c r="C29" s="3" t="s">
        <v>842</v>
      </c>
      <c r="D29" s="174" t="s">
        <v>845</v>
      </c>
      <c r="E29" s="142" t="s">
        <v>26</v>
      </c>
      <c r="F29" s="142" t="s">
        <v>37</v>
      </c>
      <c r="G29" s="104">
        <v>43961</v>
      </c>
      <c r="H29" s="142" t="s">
        <v>29</v>
      </c>
      <c r="I29" s="176" t="s">
        <v>843</v>
      </c>
      <c r="J29" s="142" t="s">
        <v>38</v>
      </c>
      <c r="K29" s="142" t="s">
        <v>42</v>
      </c>
      <c r="L29" s="176" t="s">
        <v>846</v>
      </c>
      <c r="M29" s="142" t="s">
        <v>38</v>
      </c>
      <c r="N29" s="142" t="s">
        <v>656</v>
      </c>
      <c r="O29" s="142" t="s">
        <v>76</v>
      </c>
      <c r="P29" s="10" t="s">
        <v>376</v>
      </c>
      <c r="Q29" s="142">
        <v>2026</v>
      </c>
      <c r="R29" s="170" t="s">
        <v>844</v>
      </c>
      <c r="S29" s="142"/>
    </row>
    <row r="30" spans="1:19" ht="15.5">
      <c r="A30" s="142">
        <v>19</v>
      </c>
      <c r="B30" s="142">
        <v>260230</v>
      </c>
      <c r="C30" s="4">
        <v>3193594492</v>
      </c>
      <c r="D30" s="5" t="s">
        <v>823</v>
      </c>
      <c r="E30" s="142" t="s">
        <v>26</v>
      </c>
      <c r="F30" s="142" t="s">
        <v>248</v>
      </c>
      <c r="G30" s="142" t="s">
        <v>824</v>
      </c>
      <c r="H30" s="142" t="s">
        <v>29</v>
      </c>
      <c r="I30" s="5" t="s">
        <v>825</v>
      </c>
      <c r="J30" s="142" t="s">
        <v>38</v>
      </c>
      <c r="K30" s="142" t="s">
        <v>42</v>
      </c>
      <c r="L30" s="5" t="s">
        <v>826</v>
      </c>
      <c r="M30" s="142" t="s">
        <v>38</v>
      </c>
      <c r="N30" s="142" t="s">
        <v>656</v>
      </c>
      <c r="O30" s="142" t="s">
        <v>76</v>
      </c>
      <c r="P30" s="10" t="s">
        <v>376</v>
      </c>
      <c r="Q30" s="142">
        <v>2026</v>
      </c>
      <c r="R30" s="5" t="s">
        <v>827</v>
      </c>
      <c r="S30" s="142"/>
    </row>
    <row r="31" spans="1:19" ht="15.5">
      <c r="A31" s="142">
        <v>20</v>
      </c>
      <c r="B31" s="142">
        <v>260231</v>
      </c>
      <c r="C31" s="174">
        <v>3198285920</v>
      </c>
      <c r="D31" s="46" t="s">
        <v>815</v>
      </c>
      <c r="E31" s="36" t="s">
        <v>26</v>
      </c>
      <c r="F31" s="143" t="s">
        <v>37</v>
      </c>
      <c r="G31" s="77" t="s">
        <v>816</v>
      </c>
      <c r="H31" s="142" t="s">
        <v>29</v>
      </c>
      <c r="I31" s="5" t="s">
        <v>817</v>
      </c>
      <c r="J31" s="142" t="s">
        <v>38</v>
      </c>
      <c r="K31" s="142" t="s">
        <v>42</v>
      </c>
      <c r="L31" s="5" t="s">
        <v>818</v>
      </c>
      <c r="M31" s="142"/>
      <c r="N31" s="142" t="s">
        <v>656</v>
      </c>
      <c r="O31" s="142" t="s">
        <v>76</v>
      </c>
      <c r="P31" s="10" t="s">
        <v>376</v>
      </c>
      <c r="Q31" s="142">
        <v>2026</v>
      </c>
      <c r="R31" s="45" t="s">
        <v>78</v>
      </c>
      <c r="S31" s="142"/>
    </row>
    <row r="32" spans="1:19" ht="15.5">
      <c r="A32" s="142">
        <v>21</v>
      </c>
      <c r="B32" s="142">
        <v>260228</v>
      </c>
      <c r="C32" s="3"/>
      <c r="D32" s="46" t="s">
        <v>847</v>
      </c>
      <c r="E32" s="36" t="s">
        <v>26</v>
      </c>
      <c r="F32" s="143" t="s">
        <v>37</v>
      </c>
      <c r="G32" s="77">
        <v>44140</v>
      </c>
      <c r="H32" s="142" t="s">
        <v>29</v>
      </c>
      <c r="I32" s="5" t="s">
        <v>848</v>
      </c>
      <c r="J32" s="142" t="s">
        <v>38</v>
      </c>
      <c r="K32" s="142" t="s">
        <v>39</v>
      </c>
      <c r="L32" s="5" t="s">
        <v>849</v>
      </c>
      <c r="M32" s="142" t="s">
        <v>38</v>
      </c>
      <c r="N32" s="142" t="s">
        <v>656</v>
      </c>
      <c r="O32" s="142" t="s">
        <v>76</v>
      </c>
      <c r="P32" s="10" t="s">
        <v>376</v>
      </c>
      <c r="Q32" s="142">
        <v>2026</v>
      </c>
      <c r="R32" s="46" t="s">
        <v>79</v>
      </c>
      <c r="S32" s="142"/>
    </row>
    <row r="33" spans="1:19" ht="15.5">
      <c r="A33" s="142">
        <v>22</v>
      </c>
      <c r="B33" s="142">
        <v>260210</v>
      </c>
      <c r="C33" s="142" t="s">
        <v>886</v>
      </c>
      <c r="D33" s="46" t="s">
        <v>892</v>
      </c>
      <c r="E33" s="156" t="s">
        <v>26</v>
      </c>
      <c r="F33" s="157" t="s">
        <v>35</v>
      </c>
      <c r="G33" s="162" t="s">
        <v>887</v>
      </c>
      <c r="H33" s="158" t="s">
        <v>29</v>
      </c>
      <c r="I33" s="176" t="s">
        <v>888</v>
      </c>
      <c r="J33" s="158" t="s">
        <v>38</v>
      </c>
      <c r="K33" s="158" t="s">
        <v>42</v>
      </c>
      <c r="L33" s="176" t="s">
        <v>889</v>
      </c>
      <c r="M33" s="158" t="s">
        <v>40</v>
      </c>
      <c r="N33" s="158" t="s">
        <v>656</v>
      </c>
      <c r="O33" s="4" t="s">
        <v>76</v>
      </c>
      <c r="P33" s="74" t="s">
        <v>376</v>
      </c>
      <c r="Q33" s="142">
        <v>2026</v>
      </c>
      <c r="R33" s="173" t="s">
        <v>78</v>
      </c>
      <c r="S33" s="142"/>
    </row>
    <row r="34" spans="1:19" ht="15.5">
      <c r="A34" s="142">
        <v>23</v>
      </c>
      <c r="B34" s="142">
        <v>260220</v>
      </c>
      <c r="C34" s="142" t="s">
        <v>890</v>
      </c>
      <c r="D34" s="45" t="s">
        <v>893</v>
      </c>
      <c r="E34" s="36" t="s">
        <v>26</v>
      </c>
      <c r="F34" s="157" t="s">
        <v>35</v>
      </c>
      <c r="G34" s="104" t="s">
        <v>891</v>
      </c>
      <c r="H34" s="142" t="s">
        <v>29</v>
      </c>
      <c r="I34" s="176" t="s">
        <v>888</v>
      </c>
      <c r="J34" s="142" t="s">
        <v>38</v>
      </c>
      <c r="K34" s="142" t="s">
        <v>42</v>
      </c>
      <c r="L34" s="176" t="s">
        <v>889</v>
      </c>
      <c r="M34" s="158" t="s">
        <v>40</v>
      </c>
      <c r="N34" s="142" t="s">
        <v>656</v>
      </c>
      <c r="O34" s="142" t="s">
        <v>76</v>
      </c>
      <c r="P34" s="10" t="s">
        <v>376</v>
      </c>
      <c r="Q34" s="142">
        <v>2026</v>
      </c>
      <c r="R34" s="173" t="s">
        <v>78</v>
      </c>
      <c r="S34" s="142"/>
    </row>
    <row r="35" spans="1:19" ht="14.5" customHeight="1">
      <c r="A35" s="142">
        <v>24</v>
      </c>
      <c r="B35" s="142">
        <v>260211</v>
      </c>
      <c r="C35" s="3"/>
      <c r="D35" s="46" t="s">
        <v>882</v>
      </c>
      <c r="E35" s="36" t="s">
        <v>26</v>
      </c>
      <c r="F35" s="143" t="s">
        <v>37</v>
      </c>
      <c r="G35" s="77" t="s">
        <v>883</v>
      </c>
      <c r="H35" s="142" t="s">
        <v>29</v>
      </c>
      <c r="I35" s="5" t="s">
        <v>884</v>
      </c>
      <c r="J35" s="142" t="s">
        <v>38</v>
      </c>
      <c r="K35" s="142" t="s">
        <v>42</v>
      </c>
      <c r="L35" s="5" t="s">
        <v>885</v>
      </c>
      <c r="M35" s="142" t="s">
        <v>38</v>
      </c>
      <c r="N35" s="142" t="s">
        <v>656</v>
      </c>
      <c r="O35" s="142" t="s">
        <v>76</v>
      </c>
      <c r="P35" s="10" t="s">
        <v>376</v>
      </c>
      <c r="Q35" s="142">
        <v>2026</v>
      </c>
      <c r="R35" s="46" t="s">
        <v>80</v>
      </c>
      <c r="S35" s="142"/>
    </row>
    <row r="36" spans="1:19" ht="15.5">
      <c r="A36" s="142">
        <v>25</v>
      </c>
      <c r="B36" s="142">
        <v>260215</v>
      </c>
      <c r="C36" s="3">
        <v>3202056173</v>
      </c>
      <c r="D36" s="5" t="s">
        <v>900</v>
      </c>
      <c r="E36" s="142" t="s">
        <v>30</v>
      </c>
      <c r="F36" s="142" t="s">
        <v>37</v>
      </c>
      <c r="G36" s="104">
        <v>44138</v>
      </c>
      <c r="H36" s="142" t="s">
        <v>29</v>
      </c>
      <c r="I36" s="5" t="s">
        <v>901</v>
      </c>
      <c r="J36" s="142" t="s">
        <v>40</v>
      </c>
      <c r="K36" s="142" t="s">
        <v>39</v>
      </c>
      <c r="L36" s="5" t="s">
        <v>737</v>
      </c>
      <c r="M36" s="142" t="s">
        <v>38</v>
      </c>
      <c r="N36" s="142" t="s">
        <v>656</v>
      </c>
      <c r="O36" s="142" t="s">
        <v>76</v>
      </c>
      <c r="P36" s="10" t="s">
        <v>376</v>
      </c>
      <c r="Q36" s="142">
        <v>2026</v>
      </c>
      <c r="R36" s="46" t="s">
        <v>359</v>
      </c>
      <c r="S36" s="142"/>
    </row>
    <row r="37" spans="1:19" ht="15.5">
      <c r="A37" s="142">
        <v>26</v>
      </c>
      <c r="B37" s="142">
        <v>260233</v>
      </c>
      <c r="C37" s="3">
        <v>3204162469</v>
      </c>
      <c r="D37" s="46" t="s">
        <v>920</v>
      </c>
      <c r="E37" s="36" t="s">
        <v>31</v>
      </c>
      <c r="F37" s="143" t="s">
        <v>35</v>
      </c>
      <c r="G37" s="77" t="s">
        <v>921</v>
      </c>
      <c r="H37" s="142" t="s">
        <v>29</v>
      </c>
      <c r="I37" s="5" t="s">
        <v>922</v>
      </c>
      <c r="J37" s="142" t="s">
        <v>36</v>
      </c>
      <c r="K37" s="142" t="s">
        <v>923</v>
      </c>
      <c r="L37" s="5" t="s">
        <v>924</v>
      </c>
      <c r="M37" s="142" t="s">
        <v>36</v>
      </c>
      <c r="N37" s="142" t="s">
        <v>656</v>
      </c>
      <c r="O37" s="142" t="s">
        <v>76</v>
      </c>
      <c r="P37" s="10" t="s">
        <v>376</v>
      </c>
      <c r="Q37" s="142">
        <v>2026</v>
      </c>
      <c r="R37" s="46" t="s">
        <v>149</v>
      </c>
      <c r="S37" s="142"/>
    </row>
    <row r="38" spans="1:19" ht="15.5" customHeight="1">
      <c r="A38" s="142">
        <v>27</v>
      </c>
      <c r="B38" s="142">
        <v>260222</v>
      </c>
      <c r="C38" s="3">
        <v>3202691600</v>
      </c>
      <c r="D38" s="46" t="s">
        <v>850</v>
      </c>
      <c r="E38" s="36" t="s">
        <v>26</v>
      </c>
      <c r="F38" s="143" t="s">
        <v>35</v>
      </c>
      <c r="G38" s="77">
        <v>43984</v>
      </c>
      <c r="H38" s="4" t="s">
        <v>29</v>
      </c>
      <c r="I38" s="131" t="s">
        <v>851</v>
      </c>
      <c r="J38" s="4" t="s">
        <v>38</v>
      </c>
      <c r="K38" s="4" t="s">
        <v>852</v>
      </c>
      <c r="L38" s="131" t="s">
        <v>853</v>
      </c>
      <c r="M38" s="4" t="s">
        <v>38</v>
      </c>
      <c r="N38" s="142" t="s">
        <v>656</v>
      </c>
      <c r="O38" s="4" t="s">
        <v>76</v>
      </c>
      <c r="P38" s="74" t="s">
        <v>376</v>
      </c>
      <c r="Q38" s="142">
        <v>2026</v>
      </c>
      <c r="R38" s="172" t="s">
        <v>854</v>
      </c>
      <c r="S38" s="142"/>
    </row>
    <row r="39" spans="1:19" ht="15.5">
      <c r="A39" s="142">
        <v>28</v>
      </c>
      <c r="B39" s="142">
        <v>260217</v>
      </c>
      <c r="C39" s="3"/>
      <c r="D39" s="5" t="s">
        <v>874</v>
      </c>
      <c r="E39" s="142" t="s">
        <v>30</v>
      </c>
      <c r="F39" s="142" t="s">
        <v>35</v>
      </c>
      <c r="G39" s="142" t="s">
        <v>875</v>
      </c>
      <c r="H39" s="142" t="s">
        <v>29</v>
      </c>
      <c r="I39" s="5" t="s">
        <v>876</v>
      </c>
      <c r="J39" s="142" t="s">
        <v>36</v>
      </c>
      <c r="K39" s="142" t="s">
        <v>627</v>
      </c>
      <c r="L39" s="5" t="s">
        <v>877</v>
      </c>
      <c r="M39" s="142" t="s">
        <v>36</v>
      </c>
      <c r="N39" s="142" t="s">
        <v>656</v>
      </c>
      <c r="O39" s="142" t="s">
        <v>76</v>
      </c>
      <c r="P39" s="10" t="s">
        <v>376</v>
      </c>
      <c r="Q39" s="142">
        <v>2026</v>
      </c>
      <c r="R39" s="5" t="s">
        <v>878</v>
      </c>
      <c r="S39" s="142"/>
    </row>
    <row r="40" spans="1:19" ht="15.5">
      <c r="A40" s="142">
        <v>29</v>
      </c>
      <c r="B40" s="142">
        <v>260218</v>
      </c>
      <c r="C40" s="142" t="s">
        <v>902</v>
      </c>
      <c r="D40" s="174" t="s">
        <v>904</v>
      </c>
      <c r="E40" s="156" t="s">
        <v>30</v>
      </c>
      <c r="F40" s="157" t="s">
        <v>37</v>
      </c>
      <c r="G40" s="162">
        <v>43985</v>
      </c>
      <c r="H40" s="158" t="s">
        <v>29</v>
      </c>
      <c r="I40" s="176" t="s">
        <v>91</v>
      </c>
      <c r="J40" s="158" t="s">
        <v>38</v>
      </c>
      <c r="K40" s="158" t="s">
        <v>42</v>
      </c>
      <c r="L40" s="176" t="s">
        <v>756</v>
      </c>
      <c r="M40" s="158" t="s">
        <v>38</v>
      </c>
      <c r="N40" s="158" t="s">
        <v>656</v>
      </c>
      <c r="O40" s="142" t="s">
        <v>76</v>
      </c>
      <c r="P40" s="10" t="s">
        <v>376</v>
      </c>
      <c r="Q40" s="142">
        <v>2026</v>
      </c>
      <c r="R40" s="170" t="s">
        <v>925</v>
      </c>
      <c r="S40" s="142"/>
    </row>
    <row r="41" spans="1:19" ht="15.5">
      <c r="A41" s="142">
        <v>30</v>
      </c>
      <c r="B41" s="142"/>
      <c r="C41" s="142"/>
      <c r="D41" s="5"/>
      <c r="E41" s="142"/>
      <c r="F41" s="142"/>
      <c r="G41" s="104"/>
      <c r="H41" s="142"/>
      <c r="I41" s="142"/>
      <c r="J41" s="142"/>
      <c r="K41" s="142"/>
      <c r="L41" s="142"/>
      <c r="M41" s="142"/>
      <c r="N41" s="142"/>
      <c r="O41" s="142" t="s">
        <v>76</v>
      </c>
      <c r="P41" s="10" t="s">
        <v>376</v>
      </c>
      <c r="Q41" s="142">
        <v>2026</v>
      </c>
      <c r="R41" s="5"/>
      <c r="S41" s="142"/>
    </row>
    <row r="42" spans="1:19" ht="15.5">
      <c r="A42" s="1"/>
      <c r="B42" s="141"/>
      <c r="C42" s="1"/>
      <c r="D42" s="1"/>
      <c r="E42" s="1"/>
      <c r="F42" s="81"/>
      <c r="G42" s="141"/>
      <c r="H42" s="1"/>
      <c r="I42" s="141"/>
      <c r="J42" s="1"/>
      <c r="K42" s="1"/>
      <c r="L42" s="1"/>
      <c r="M42" s="1"/>
      <c r="N42" s="1"/>
      <c r="O42" s="1"/>
      <c r="P42" s="1"/>
      <c r="Q42" s="55"/>
      <c r="R42" s="61"/>
      <c r="S42" s="1"/>
    </row>
    <row r="43" spans="1:19" ht="15.5">
      <c r="A43" s="1"/>
      <c r="B43" s="8" t="s">
        <v>34</v>
      </c>
      <c r="C43" s="1"/>
      <c r="D43" s="1"/>
      <c r="E43" s="81"/>
      <c r="F43" s="141"/>
      <c r="G43" s="1"/>
      <c r="H43" s="141"/>
      <c r="I43" s="1"/>
      <c r="J43" s="1"/>
      <c r="K43" s="1"/>
      <c r="L43" s="1"/>
      <c r="M43" s="1"/>
      <c r="N43" s="1"/>
      <c r="O43" s="1"/>
      <c r="P43" s="9"/>
      <c r="Q43" s="61"/>
      <c r="R43" s="1"/>
    </row>
    <row r="44" spans="1:19" ht="15.5">
      <c r="A44" s="1"/>
      <c r="B44" s="141" t="s">
        <v>26</v>
      </c>
      <c r="C44" s="1">
        <f>COUNTIF($E$12:$E$38, "L")</f>
        <v>13</v>
      </c>
      <c r="D44" s="1"/>
      <c r="E44" s="82"/>
      <c r="F44" s="141"/>
      <c r="G44" s="1"/>
      <c r="H44" s="141"/>
      <c r="I44" s="1"/>
      <c r="J44" s="1"/>
      <c r="K44" s="1"/>
      <c r="L44" s="1"/>
      <c r="M44" s="1"/>
      <c r="N44" s="1"/>
      <c r="O44" s="1"/>
      <c r="P44" s="9"/>
      <c r="Q44" s="62"/>
      <c r="R44" s="1"/>
    </row>
    <row r="45" spans="1:19" ht="15.5">
      <c r="A45" s="1"/>
      <c r="B45" s="141" t="s">
        <v>31</v>
      </c>
      <c r="C45" s="1">
        <f>COUNTIF($E$12:$E$38, "P")</f>
        <v>13</v>
      </c>
      <c r="D45" s="164"/>
      <c r="E45" s="165"/>
      <c r="F45" s="166"/>
      <c r="G45" s="167"/>
      <c r="H45" s="168"/>
      <c r="I45" s="168"/>
      <c r="J45" s="169"/>
      <c r="K45" s="163"/>
      <c r="L45" s="1"/>
      <c r="M45" s="1"/>
      <c r="N45" s="1"/>
      <c r="O45" s="9" t="s">
        <v>612</v>
      </c>
      <c r="P45" s="55"/>
      <c r="Q45" s="61"/>
      <c r="R45" s="1"/>
    </row>
    <row r="46" spans="1:19" ht="15.5">
      <c r="A46" s="1"/>
      <c r="B46" s="141" t="s">
        <v>32</v>
      </c>
      <c r="C46" s="1">
        <f>C44+C45</f>
        <v>26</v>
      </c>
      <c r="D46" s="1"/>
      <c r="E46" s="81"/>
      <c r="F46" s="141"/>
      <c r="G46" s="1"/>
      <c r="H46" s="141"/>
      <c r="I46" s="1"/>
      <c r="J46" s="1"/>
      <c r="K46" s="1"/>
      <c r="L46" s="1"/>
      <c r="M46" s="1"/>
      <c r="N46" s="1"/>
      <c r="O46" s="1" t="s">
        <v>370</v>
      </c>
      <c r="P46" s="9"/>
      <c r="Q46" s="62"/>
      <c r="R46" s="1"/>
    </row>
  </sheetData>
  <sortState xmlns:xlrd2="http://schemas.microsoft.com/office/spreadsheetml/2017/richdata2" ref="C12:R40">
    <sortCondition ref="D12:D40"/>
  </sortState>
  <mergeCells count="13">
    <mergeCell ref="P9:Q9"/>
    <mergeCell ref="R9:R10"/>
    <mergeCell ref="S9:S10"/>
    <mergeCell ref="A1:S1"/>
    <mergeCell ref="A2:S2"/>
    <mergeCell ref="A9:A10"/>
    <mergeCell ref="B9:C9"/>
    <mergeCell ref="D9:D10"/>
    <mergeCell ref="E9:E10"/>
    <mergeCell ref="F9:G9"/>
    <mergeCell ref="H9:H10"/>
    <mergeCell ref="I9:N9"/>
    <mergeCell ref="O9:O10"/>
  </mergeCells>
  <phoneticPr fontId="14" type="noConversion"/>
  <dataValidations count="3"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26:H27 H18 H20:H24 H14:H16" xr:uid="{4ED0354A-8DD2-4C42-926D-97B5A5388F82}">
      <formula1>"A, B, C, D, E, F, G, H, I, J, K, L,"</formula1>
    </dataValidation>
    <dataValidation allowBlank="1" showInputMessage="1" showErrorMessage="1" prompt="(yyyy-mm-dd)_x000a_1996-05-18" sqref="G45 G39 G30:G32 G35 G37 G14:G27" xr:uid="{C00FA669-26CB-4F87-9C19-BE706A86556A}"/>
    <dataValidation type="list" allowBlank="1" showDropDown="1" showInputMessage="1" showErrorMessage="1" error="Gunakan L = Laki-laki, P = Perempuan" prompt="L = Laki-laki_x000a_P = Perempuan" sqref="E39 E30 E32 E35 E37 E14:E15 E17:E27" xr:uid="{77DB6F36-9B55-42E3-AD02-497838490818}">
      <formula1>"L, P,"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6"/>
  <sheetViews>
    <sheetView topLeftCell="A20" zoomScale="78" zoomScaleNormal="78" workbookViewId="0">
      <selection activeCell="C44" sqref="C44"/>
    </sheetView>
  </sheetViews>
  <sheetFormatPr defaultColWidth="9.1796875" defaultRowHeight="13"/>
  <cols>
    <col min="1" max="1" width="6" style="55" customWidth="1"/>
    <col min="2" max="2" width="10.453125" style="55" customWidth="1"/>
    <col min="3" max="3" width="12.7265625" style="55" customWidth="1"/>
    <col min="4" max="4" width="28.26953125" style="55" bestFit="1" customWidth="1"/>
    <col min="5" max="5" width="9.1796875" style="55"/>
    <col min="6" max="6" width="13.54296875" style="82" bestFit="1" customWidth="1"/>
    <col min="7" max="7" width="14.81640625" style="79" bestFit="1" customWidth="1"/>
    <col min="8" max="8" width="9.1796875" style="55"/>
    <col min="9" max="9" width="17" style="79" bestFit="1" customWidth="1"/>
    <col min="10" max="10" width="9.1796875" style="55"/>
    <col min="11" max="11" width="11.54296875" style="55" bestFit="1" customWidth="1"/>
    <col min="12" max="12" width="24.1796875" style="55" bestFit="1" customWidth="1"/>
    <col min="13" max="13" width="6.1796875" style="55" bestFit="1" customWidth="1"/>
    <col min="14" max="14" width="9.81640625" style="55" bestFit="1" customWidth="1"/>
    <col min="15" max="15" width="18.26953125" style="55" bestFit="1" customWidth="1"/>
    <col min="16" max="16" width="10.1796875" style="55" bestFit="1" customWidth="1"/>
    <col min="17" max="17" width="9.1796875" style="55"/>
    <col min="18" max="18" width="59.453125" style="55" bestFit="1" customWidth="1"/>
    <col min="19" max="16384" width="9.1796875" style="55"/>
  </cols>
  <sheetData>
    <row r="1" spans="1:19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</row>
    <row r="2" spans="1:19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19" ht="15.5">
      <c r="A3" s="1"/>
      <c r="B3" s="1"/>
      <c r="C3" s="1"/>
      <c r="D3" s="1"/>
      <c r="E3" s="1"/>
      <c r="F3" s="81"/>
      <c r="G3" s="95"/>
      <c r="H3" s="1"/>
      <c r="I3" s="95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>
      <c r="A4" s="1" t="s">
        <v>1</v>
      </c>
      <c r="B4" s="1"/>
      <c r="C4" s="1" t="s">
        <v>108</v>
      </c>
      <c r="D4" s="1"/>
      <c r="E4" s="1"/>
      <c r="F4" s="81"/>
      <c r="G4" s="95"/>
      <c r="H4" s="1"/>
      <c r="I4" s="95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>
      <c r="A5" s="1" t="s">
        <v>2</v>
      </c>
      <c r="B5" s="1"/>
      <c r="C5" s="6" t="s">
        <v>109</v>
      </c>
      <c r="D5" s="6"/>
      <c r="E5" s="1"/>
      <c r="F5" s="81"/>
      <c r="G5" s="95"/>
      <c r="H5" s="1"/>
      <c r="I5" s="95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>
      <c r="A6" s="1" t="s">
        <v>3</v>
      </c>
      <c r="B6" s="1"/>
      <c r="C6" s="1" t="s">
        <v>375</v>
      </c>
      <c r="D6" s="1"/>
      <c r="E6" s="1"/>
      <c r="F6" s="81"/>
      <c r="G6" s="95"/>
      <c r="H6" s="1"/>
      <c r="I6" s="95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>
      <c r="A7" s="1" t="s">
        <v>4</v>
      </c>
      <c r="B7" s="1"/>
      <c r="C7" s="1" t="s">
        <v>110</v>
      </c>
      <c r="D7" s="1"/>
      <c r="E7" s="1"/>
      <c r="F7" s="81"/>
      <c r="G7" s="95"/>
      <c r="H7" s="1"/>
      <c r="I7" s="95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>
      <c r="A8" s="1"/>
      <c r="B8" s="1"/>
      <c r="C8" s="1"/>
      <c r="D8" s="1"/>
      <c r="E8" s="1"/>
      <c r="F8" s="81"/>
      <c r="G8" s="95"/>
      <c r="H8" s="1"/>
      <c r="I8" s="95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7.25" customHeight="1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47" t="s">
        <v>13</v>
      </c>
      <c r="J9" s="148"/>
      <c r="K9" s="148"/>
      <c r="L9" s="148"/>
      <c r="M9" s="148"/>
      <c r="N9" s="149"/>
      <c r="O9" s="150" t="s">
        <v>17</v>
      </c>
      <c r="P9" s="144" t="s">
        <v>21</v>
      </c>
      <c r="Q9" s="144"/>
      <c r="R9" s="144" t="s">
        <v>24</v>
      </c>
      <c r="S9" s="144" t="s">
        <v>25</v>
      </c>
    </row>
    <row r="10" spans="1:19" ht="17.25" customHeight="1">
      <c r="A10" s="144"/>
      <c r="B10" s="94" t="s">
        <v>7</v>
      </c>
      <c r="C10" s="94" t="s">
        <v>8</v>
      </c>
      <c r="D10" s="146"/>
      <c r="E10" s="144"/>
      <c r="F10" s="94" t="s">
        <v>27</v>
      </c>
      <c r="G10" s="94" t="s">
        <v>28</v>
      </c>
      <c r="H10" s="144"/>
      <c r="I10" s="94" t="s">
        <v>14</v>
      </c>
      <c r="J10" s="94" t="s">
        <v>15</v>
      </c>
      <c r="K10" s="94" t="s">
        <v>16</v>
      </c>
      <c r="L10" s="105" t="s">
        <v>687</v>
      </c>
      <c r="M10" s="105" t="s">
        <v>15</v>
      </c>
      <c r="N10" s="105" t="s">
        <v>16</v>
      </c>
      <c r="O10" s="151"/>
      <c r="P10" s="94" t="s">
        <v>22</v>
      </c>
      <c r="Q10" s="94" t="s">
        <v>23</v>
      </c>
      <c r="R10" s="144"/>
      <c r="S10" s="144"/>
    </row>
    <row r="11" spans="1:19" ht="17.25" customHeight="1">
      <c r="A11" s="97">
        <v>1</v>
      </c>
      <c r="B11" s="97">
        <f t="shared" ref="B11:K11" si="0">A11+1</f>
        <v>2</v>
      </c>
      <c r="C11" s="97">
        <f t="shared" si="0"/>
        <v>3</v>
      </c>
      <c r="D11" s="97">
        <f t="shared" si="0"/>
        <v>4</v>
      </c>
      <c r="E11" s="97">
        <f t="shared" si="0"/>
        <v>5</v>
      </c>
      <c r="F11" s="97">
        <f t="shared" si="0"/>
        <v>6</v>
      </c>
      <c r="G11" s="97">
        <f t="shared" si="0"/>
        <v>7</v>
      </c>
      <c r="H11" s="97">
        <f t="shared" si="0"/>
        <v>8</v>
      </c>
      <c r="I11" s="97">
        <f t="shared" si="0"/>
        <v>9</v>
      </c>
      <c r="J11" s="97">
        <f t="shared" si="0"/>
        <v>10</v>
      </c>
      <c r="K11" s="97">
        <f t="shared" si="0"/>
        <v>11</v>
      </c>
      <c r="L11" s="107">
        <v>12</v>
      </c>
      <c r="M11" s="107">
        <v>13</v>
      </c>
      <c r="N11" s="107">
        <v>14</v>
      </c>
      <c r="O11" s="97">
        <v>15</v>
      </c>
      <c r="P11" s="107">
        <v>16</v>
      </c>
      <c r="Q11" s="107">
        <v>17</v>
      </c>
      <c r="R11" s="97">
        <f>Q11+1</f>
        <v>18</v>
      </c>
      <c r="S11" s="97">
        <f>R11+1</f>
        <v>19</v>
      </c>
    </row>
    <row r="12" spans="1:19" ht="17.25" customHeight="1">
      <c r="A12" s="97">
        <v>1</v>
      </c>
      <c r="B12" s="97">
        <v>250189</v>
      </c>
      <c r="C12" s="108">
        <v>3191626949</v>
      </c>
      <c r="D12" s="111" t="s">
        <v>636</v>
      </c>
      <c r="E12" s="112" t="s">
        <v>26</v>
      </c>
      <c r="F12" s="113" t="s">
        <v>37</v>
      </c>
      <c r="G12" s="114">
        <v>43807</v>
      </c>
      <c r="H12" s="103" t="s">
        <v>29</v>
      </c>
      <c r="I12" s="103" t="s">
        <v>637</v>
      </c>
      <c r="J12" s="103" t="s">
        <v>38</v>
      </c>
      <c r="K12" s="103" t="s">
        <v>42</v>
      </c>
      <c r="L12" s="107" t="s">
        <v>688</v>
      </c>
      <c r="M12" s="107"/>
      <c r="N12" s="105" t="s">
        <v>656</v>
      </c>
      <c r="O12" s="103" t="s">
        <v>76</v>
      </c>
      <c r="P12" s="50" t="s">
        <v>376</v>
      </c>
      <c r="Q12" s="97">
        <v>2025</v>
      </c>
      <c r="R12" s="115" t="s">
        <v>638</v>
      </c>
      <c r="S12" s="97"/>
    </row>
    <row r="13" spans="1:19" ht="17.25" customHeight="1">
      <c r="A13" s="94">
        <v>2</v>
      </c>
      <c r="B13" s="100">
        <v>250200</v>
      </c>
      <c r="C13" s="4" t="s">
        <v>668</v>
      </c>
      <c r="D13" s="5" t="s">
        <v>669</v>
      </c>
      <c r="E13" s="101" t="s">
        <v>26</v>
      </c>
      <c r="F13" s="101" t="s">
        <v>37</v>
      </c>
      <c r="G13" s="101" t="s">
        <v>670</v>
      </c>
      <c r="H13" s="94" t="s">
        <v>29</v>
      </c>
      <c r="I13" s="94" t="s">
        <v>671</v>
      </c>
      <c r="J13" s="94" t="s">
        <v>38</v>
      </c>
      <c r="K13" s="94" t="s">
        <v>42</v>
      </c>
      <c r="L13" s="105" t="s">
        <v>689</v>
      </c>
      <c r="M13" s="105"/>
      <c r="N13" s="105" t="s">
        <v>656</v>
      </c>
      <c r="O13" s="94" t="s">
        <v>76</v>
      </c>
      <c r="P13" s="10" t="s">
        <v>376</v>
      </c>
      <c r="Q13" s="97">
        <v>2025</v>
      </c>
      <c r="R13" s="5" t="s">
        <v>78</v>
      </c>
      <c r="S13" s="94"/>
    </row>
    <row r="14" spans="1:19" ht="17.25" customHeight="1">
      <c r="A14" s="94">
        <v>3</v>
      </c>
      <c r="B14" s="100">
        <v>250204</v>
      </c>
      <c r="C14" s="4" t="s">
        <v>683</v>
      </c>
      <c r="D14" s="5" t="s">
        <v>684</v>
      </c>
      <c r="E14" s="101" t="s">
        <v>26</v>
      </c>
      <c r="F14" s="101" t="s">
        <v>35</v>
      </c>
      <c r="G14" s="101" t="s">
        <v>685</v>
      </c>
      <c r="H14" s="94" t="s">
        <v>29</v>
      </c>
      <c r="I14" s="94" t="s">
        <v>686</v>
      </c>
      <c r="J14" s="94" t="s">
        <v>43</v>
      </c>
      <c r="K14" s="94" t="s">
        <v>44</v>
      </c>
      <c r="L14" s="105" t="s">
        <v>690</v>
      </c>
      <c r="M14" s="105" t="s">
        <v>43</v>
      </c>
      <c r="N14" s="105" t="s">
        <v>73</v>
      </c>
      <c r="O14" s="94" t="s">
        <v>76</v>
      </c>
      <c r="P14" s="10" t="s">
        <v>376</v>
      </c>
      <c r="Q14" s="97">
        <v>2025</v>
      </c>
      <c r="R14" s="5" t="s">
        <v>79</v>
      </c>
      <c r="S14" s="94"/>
    </row>
    <row r="15" spans="1:19" ht="17.25" customHeight="1">
      <c r="A15" s="94">
        <v>4</v>
      </c>
      <c r="B15" s="100">
        <v>250182</v>
      </c>
      <c r="C15" s="117">
        <v>3182382277</v>
      </c>
      <c r="D15" s="5" t="s">
        <v>614</v>
      </c>
      <c r="E15" s="101" t="s">
        <v>30</v>
      </c>
      <c r="F15" s="101" t="s">
        <v>37</v>
      </c>
      <c r="G15" s="104">
        <v>43263</v>
      </c>
      <c r="H15" s="101" t="s">
        <v>29</v>
      </c>
      <c r="I15" s="101" t="s">
        <v>358</v>
      </c>
      <c r="J15" s="101" t="s">
        <v>40</v>
      </c>
      <c r="K15" s="101" t="s">
        <v>42</v>
      </c>
      <c r="L15" s="105" t="s">
        <v>691</v>
      </c>
      <c r="M15" s="105"/>
      <c r="N15" s="105" t="s">
        <v>656</v>
      </c>
      <c r="O15" s="101" t="s">
        <v>76</v>
      </c>
      <c r="P15" s="10" t="s">
        <v>376</v>
      </c>
      <c r="Q15" s="97">
        <v>2025</v>
      </c>
      <c r="R15" s="5" t="s">
        <v>613</v>
      </c>
      <c r="S15" s="94"/>
    </row>
    <row r="16" spans="1:19" s="75" customFormat="1" ht="17.25" customHeight="1">
      <c r="A16" s="4">
        <v>5</v>
      </c>
      <c r="B16" s="100">
        <v>250197</v>
      </c>
      <c r="C16" s="3" t="s">
        <v>774</v>
      </c>
      <c r="D16" s="5" t="s">
        <v>659</v>
      </c>
      <c r="E16" s="101" t="s">
        <v>30</v>
      </c>
      <c r="F16" s="101" t="s">
        <v>35</v>
      </c>
      <c r="G16" s="101" t="s">
        <v>660</v>
      </c>
      <c r="H16" s="101" t="s">
        <v>29</v>
      </c>
      <c r="I16" s="101" t="s">
        <v>202</v>
      </c>
      <c r="J16" s="101" t="s">
        <v>38</v>
      </c>
      <c r="K16" s="101" t="s">
        <v>39</v>
      </c>
      <c r="L16" s="105" t="s">
        <v>692</v>
      </c>
      <c r="M16" s="105"/>
      <c r="N16" s="105" t="s">
        <v>656</v>
      </c>
      <c r="O16" s="101" t="s">
        <v>76</v>
      </c>
      <c r="P16" s="10" t="s">
        <v>376</v>
      </c>
      <c r="Q16" s="97">
        <v>2025</v>
      </c>
      <c r="R16" s="5" t="s">
        <v>78</v>
      </c>
      <c r="S16" s="4"/>
    </row>
    <row r="17" spans="1:19" ht="17.25" customHeight="1">
      <c r="A17" s="94">
        <v>6</v>
      </c>
      <c r="B17" s="100">
        <v>250188</v>
      </c>
      <c r="C17" s="117">
        <v>3185754113</v>
      </c>
      <c r="D17" s="72" t="s">
        <v>632</v>
      </c>
      <c r="E17" s="73" t="s">
        <v>26</v>
      </c>
      <c r="F17" s="80" t="s">
        <v>35</v>
      </c>
      <c r="G17" s="78" t="s">
        <v>633</v>
      </c>
      <c r="H17" s="4" t="s">
        <v>29</v>
      </c>
      <c r="I17" s="4" t="s">
        <v>634</v>
      </c>
      <c r="J17" s="4" t="s">
        <v>40</v>
      </c>
      <c r="K17" s="4" t="s">
        <v>627</v>
      </c>
      <c r="L17" s="4" t="s">
        <v>693</v>
      </c>
      <c r="M17" s="4"/>
      <c r="N17" s="105" t="s">
        <v>656</v>
      </c>
      <c r="O17" s="4" t="s">
        <v>76</v>
      </c>
      <c r="P17" s="74" t="s">
        <v>376</v>
      </c>
      <c r="Q17" s="98">
        <v>2025</v>
      </c>
      <c r="R17" s="99" t="s">
        <v>635</v>
      </c>
      <c r="S17" s="94"/>
    </row>
    <row r="18" spans="1:19" s="75" customFormat="1" ht="17.25" customHeight="1">
      <c r="A18" s="4">
        <v>7</v>
      </c>
      <c r="B18" s="100">
        <v>250201</v>
      </c>
      <c r="C18" s="3" t="s">
        <v>780</v>
      </c>
      <c r="D18" s="5" t="s">
        <v>672</v>
      </c>
      <c r="E18" s="101" t="s">
        <v>30</v>
      </c>
      <c r="F18" s="101" t="s">
        <v>333</v>
      </c>
      <c r="G18" s="101" t="s">
        <v>673</v>
      </c>
      <c r="H18" s="101" t="s">
        <v>29</v>
      </c>
      <c r="I18" s="101" t="s">
        <v>674</v>
      </c>
      <c r="J18" s="101" t="s">
        <v>40</v>
      </c>
      <c r="K18" s="101" t="s">
        <v>39</v>
      </c>
      <c r="L18" s="105" t="s">
        <v>694</v>
      </c>
      <c r="M18" s="105"/>
      <c r="N18" s="105" t="s">
        <v>656</v>
      </c>
      <c r="O18" s="101" t="s">
        <v>76</v>
      </c>
      <c r="P18" s="10" t="s">
        <v>376</v>
      </c>
      <c r="Q18" s="103">
        <v>2025</v>
      </c>
      <c r="R18" s="5" t="s">
        <v>675</v>
      </c>
      <c r="S18" s="4"/>
    </row>
    <row r="19" spans="1:19" ht="17.25" customHeight="1">
      <c r="A19" s="94">
        <v>8</v>
      </c>
      <c r="B19" s="100">
        <v>250194</v>
      </c>
      <c r="C19" s="3" t="s">
        <v>781</v>
      </c>
      <c r="D19" s="56" t="s">
        <v>651</v>
      </c>
      <c r="E19" s="36" t="s">
        <v>30</v>
      </c>
      <c r="F19" s="96" t="s">
        <v>37</v>
      </c>
      <c r="G19" s="77">
        <v>43112</v>
      </c>
      <c r="H19" s="94" t="s">
        <v>29</v>
      </c>
      <c r="I19" s="94" t="s">
        <v>652</v>
      </c>
      <c r="J19" s="94" t="s">
        <v>38</v>
      </c>
      <c r="K19" s="94" t="s">
        <v>42</v>
      </c>
      <c r="L19" s="105" t="s">
        <v>695</v>
      </c>
      <c r="M19" s="105"/>
      <c r="N19" s="105" t="s">
        <v>656</v>
      </c>
      <c r="O19" s="94" t="s">
        <v>76</v>
      </c>
      <c r="P19" s="10" t="s">
        <v>376</v>
      </c>
      <c r="Q19" s="97">
        <v>2025</v>
      </c>
      <c r="R19" s="56" t="s">
        <v>653</v>
      </c>
      <c r="S19" s="94"/>
    </row>
    <row r="20" spans="1:19" ht="17.25" customHeight="1">
      <c r="A20" s="94">
        <v>9</v>
      </c>
      <c r="B20" s="100">
        <v>250185</v>
      </c>
      <c r="C20" s="110">
        <v>3198275651</v>
      </c>
      <c r="D20" s="56" t="s">
        <v>621</v>
      </c>
      <c r="E20" s="36" t="s">
        <v>30</v>
      </c>
      <c r="F20" s="96" t="s">
        <v>37</v>
      </c>
      <c r="G20" s="77" t="s">
        <v>622</v>
      </c>
      <c r="H20" s="4" t="s">
        <v>29</v>
      </c>
      <c r="I20" s="4" t="s">
        <v>90</v>
      </c>
      <c r="J20" s="4" t="s">
        <v>38</v>
      </c>
      <c r="K20" s="4" t="s">
        <v>41</v>
      </c>
      <c r="L20" s="4" t="s">
        <v>696</v>
      </c>
      <c r="M20" s="4"/>
      <c r="N20" s="105" t="s">
        <v>656</v>
      </c>
      <c r="O20" s="4" t="s">
        <v>76</v>
      </c>
      <c r="P20" s="74" t="s">
        <v>376</v>
      </c>
      <c r="Q20" s="97">
        <v>2025</v>
      </c>
      <c r="R20" s="72" t="s">
        <v>623</v>
      </c>
      <c r="S20" s="94"/>
    </row>
    <row r="21" spans="1:19" ht="17.25" customHeight="1">
      <c r="A21" s="94">
        <v>10</v>
      </c>
      <c r="B21" s="100">
        <v>250184</v>
      </c>
      <c r="C21" s="3">
        <v>3181674879</v>
      </c>
      <c r="D21" s="56" t="s">
        <v>618</v>
      </c>
      <c r="E21" s="36" t="s">
        <v>30</v>
      </c>
      <c r="F21" s="96" t="s">
        <v>37</v>
      </c>
      <c r="G21" s="77" t="s">
        <v>619</v>
      </c>
      <c r="H21" s="94" t="s">
        <v>29</v>
      </c>
      <c r="I21" s="94" t="s">
        <v>620</v>
      </c>
      <c r="J21" s="94" t="s">
        <v>38</v>
      </c>
      <c r="K21" s="94" t="s">
        <v>39</v>
      </c>
      <c r="L21" s="105" t="s">
        <v>697</v>
      </c>
      <c r="M21" s="105"/>
      <c r="N21" s="105" t="s">
        <v>656</v>
      </c>
      <c r="O21" s="94" t="s">
        <v>76</v>
      </c>
      <c r="P21" s="10" t="s">
        <v>376</v>
      </c>
      <c r="Q21" s="97">
        <v>2025</v>
      </c>
      <c r="R21" s="56" t="s">
        <v>390</v>
      </c>
      <c r="S21" s="94"/>
    </row>
    <row r="22" spans="1:19" ht="17.25" customHeight="1">
      <c r="A22" s="94">
        <v>11</v>
      </c>
      <c r="B22" s="100">
        <v>250191</v>
      </c>
      <c r="C22" s="3">
        <v>3185567380</v>
      </c>
      <c r="D22" s="56" t="s">
        <v>642</v>
      </c>
      <c r="E22" s="36" t="s">
        <v>30</v>
      </c>
      <c r="F22" s="96" t="s">
        <v>248</v>
      </c>
      <c r="G22" s="77">
        <v>43289</v>
      </c>
      <c r="H22" s="94" t="s">
        <v>29</v>
      </c>
      <c r="I22" s="94" t="s">
        <v>643</v>
      </c>
      <c r="J22" s="94" t="s">
        <v>40</v>
      </c>
      <c r="K22" s="94" t="s">
        <v>42</v>
      </c>
      <c r="L22" s="105" t="s">
        <v>698</v>
      </c>
      <c r="M22" s="105"/>
      <c r="N22" s="105" t="s">
        <v>656</v>
      </c>
      <c r="O22" s="94" t="s">
        <v>76</v>
      </c>
      <c r="P22" s="10" t="s">
        <v>376</v>
      </c>
      <c r="Q22" s="97">
        <v>2025</v>
      </c>
      <c r="R22" s="57" t="s">
        <v>613</v>
      </c>
      <c r="S22" s="94"/>
    </row>
    <row r="23" spans="1:19" ht="17.25" customHeight="1">
      <c r="A23" s="94">
        <v>12</v>
      </c>
      <c r="B23" s="100">
        <v>250190</v>
      </c>
      <c r="C23" s="4" t="s">
        <v>641</v>
      </c>
      <c r="D23" s="56" t="s">
        <v>639</v>
      </c>
      <c r="E23" s="36" t="s">
        <v>26</v>
      </c>
      <c r="F23" s="96" t="s">
        <v>35</v>
      </c>
      <c r="G23" s="77">
        <v>43197</v>
      </c>
      <c r="H23" s="94" t="s">
        <v>29</v>
      </c>
      <c r="I23" s="94" t="s">
        <v>640</v>
      </c>
      <c r="J23" s="94" t="s">
        <v>36</v>
      </c>
      <c r="K23" s="94" t="s">
        <v>39</v>
      </c>
      <c r="L23" s="105" t="s">
        <v>699</v>
      </c>
      <c r="M23" s="105"/>
      <c r="N23" s="105" t="s">
        <v>656</v>
      </c>
      <c r="O23" s="94" t="s">
        <v>76</v>
      </c>
      <c r="P23" s="10" t="s">
        <v>376</v>
      </c>
      <c r="Q23" s="97">
        <v>2025</v>
      </c>
      <c r="R23" s="57" t="s">
        <v>78</v>
      </c>
      <c r="S23" s="94"/>
    </row>
    <row r="24" spans="1:19" ht="17.25" customHeight="1">
      <c r="A24" s="94">
        <v>13</v>
      </c>
      <c r="B24" s="100">
        <v>250199</v>
      </c>
      <c r="C24" s="3" t="s">
        <v>813</v>
      </c>
      <c r="D24" s="5" t="s">
        <v>664</v>
      </c>
      <c r="E24" s="101" t="s">
        <v>30</v>
      </c>
      <c r="F24" s="101" t="s">
        <v>37</v>
      </c>
      <c r="G24" s="101" t="s">
        <v>665</v>
      </c>
      <c r="H24" s="94" t="s">
        <v>29</v>
      </c>
      <c r="I24" s="94"/>
      <c r="J24" s="94"/>
      <c r="K24" s="94"/>
      <c r="L24" s="105" t="s">
        <v>666</v>
      </c>
      <c r="M24" s="105" t="s">
        <v>36</v>
      </c>
      <c r="N24" s="105" t="s">
        <v>656</v>
      </c>
      <c r="O24" s="94" t="s">
        <v>76</v>
      </c>
      <c r="P24" s="10" t="s">
        <v>376</v>
      </c>
      <c r="Q24" s="97">
        <v>2025</v>
      </c>
      <c r="R24" s="5" t="s">
        <v>667</v>
      </c>
      <c r="S24" s="94"/>
    </row>
    <row r="25" spans="1:19" ht="15.5">
      <c r="A25" s="94">
        <v>14</v>
      </c>
      <c r="B25" s="100">
        <v>250203</v>
      </c>
      <c r="C25" s="3" t="s">
        <v>775</v>
      </c>
      <c r="D25" s="5" t="s">
        <v>679</v>
      </c>
      <c r="E25" s="101" t="s">
        <v>30</v>
      </c>
      <c r="F25" s="101" t="s">
        <v>680</v>
      </c>
      <c r="G25" s="101" t="s">
        <v>681</v>
      </c>
      <c r="H25" s="94" t="s">
        <v>29</v>
      </c>
      <c r="I25" s="94" t="s">
        <v>682</v>
      </c>
      <c r="J25" s="94" t="s">
        <v>40</v>
      </c>
      <c r="K25" s="94" t="s">
        <v>42</v>
      </c>
      <c r="L25" s="105" t="s">
        <v>700</v>
      </c>
      <c r="M25" s="105"/>
      <c r="N25" s="105" t="s">
        <v>656</v>
      </c>
      <c r="O25" s="94" t="s">
        <v>76</v>
      </c>
      <c r="P25" s="10" t="s">
        <v>376</v>
      </c>
      <c r="Q25" s="97">
        <v>2025</v>
      </c>
      <c r="R25" s="5" t="s">
        <v>82</v>
      </c>
      <c r="S25" s="94"/>
    </row>
    <row r="26" spans="1:19" ht="15.5">
      <c r="A26" s="94">
        <v>15</v>
      </c>
      <c r="B26" s="100">
        <v>250196</v>
      </c>
      <c r="C26" s="3" t="s">
        <v>782</v>
      </c>
      <c r="D26" s="5" t="s">
        <v>657</v>
      </c>
      <c r="E26" s="94" t="s">
        <v>26</v>
      </c>
      <c r="F26" s="94" t="s">
        <v>35</v>
      </c>
      <c r="G26" s="94" t="s">
        <v>658</v>
      </c>
      <c r="H26" s="94" t="s">
        <v>29</v>
      </c>
      <c r="I26" s="94" t="s">
        <v>275</v>
      </c>
      <c r="J26" s="94" t="s">
        <v>36</v>
      </c>
      <c r="K26" s="94" t="s">
        <v>41</v>
      </c>
      <c r="L26" s="105" t="s">
        <v>701</v>
      </c>
      <c r="M26" s="105"/>
      <c r="N26" s="105" t="s">
        <v>656</v>
      </c>
      <c r="O26" s="94" t="s">
        <v>76</v>
      </c>
      <c r="P26" s="10" t="s">
        <v>376</v>
      </c>
      <c r="Q26" s="97">
        <v>2025</v>
      </c>
      <c r="R26" s="5" t="s">
        <v>276</v>
      </c>
      <c r="S26" s="94"/>
    </row>
    <row r="27" spans="1:19" ht="15.5">
      <c r="A27" s="94">
        <v>16</v>
      </c>
      <c r="B27" s="100">
        <v>250193</v>
      </c>
      <c r="C27" s="3" t="s">
        <v>778</v>
      </c>
      <c r="D27" s="56" t="s">
        <v>647</v>
      </c>
      <c r="E27" s="36" t="s">
        <v>26</v>
      </c>
      <c r="F27" s="102" t="s">
        <v>248</v>
      </c>
      <c r="G27" s="77" t="s">
        <v>648</v>
      </c>
      <c r="H27" s="94" t="s">
        <v>29</v>
      </c>
      <c r="I27" s="94" t="s">
        <v>649</v>
      </c>
      <c r="J27" s="94" t="s">
        <v>36</v>
      </c>
      <c r="K27" s="94" t="s">
        <v>42</v>
      </c>
      <c r="L27" s="105" t="s">
        <v>702</v>
      </c>
      <c r="M27" s="105"/>
      <c r="N27" s="105" t="s">
        <v>656</v>
      </c>
      <c r="O27" s="94" t="s">
        <v>76</v>
      </c>
      <c r="P27" s="10" t="s">
        <v>376</v>
      </c>
      <c r="Q27" s="97">
        <v>2025</v>
      </c>
      <c r="R27" s="56" t="s">
        <v>650</v>
      </c>
      <c r="S27" s="94"/>
    </row>
    <row r="28" spans="1:19" ht="15.5">
      <c r="A28" s="94">
        <v>17</v>
      </c>
      <c r="B28" s="100">
        <v>250186</v>
      </c>
      <c r="C28" s="118" t="s">
        <v>772</v>
      </c>
      <c r="D28" s="72" t="s">
        <v>624</v>
      </c>
      <c r="E28" s="73" t="s">
        <v>26</v>
      </c>
      <c r="F28" s="80" t="s">
        <v>37</v>
      </c>
      <c r="G28" s="78">
        <v>43564</v>
      </c>
      <c r="H28" s="4" t="s">
        <v>29</v>
      </c>
      <c r="I28" s="4" t="s">
        <v>625</v>
      </c>
      <c r="J28" s="4" t="s">
        <v>314</v>
      </c>
      <c r="K28" s="4" t="s">
        <v>627</v>
      </c>
      <c r="L28" s="4" t="s">
        <v>703</v>
      </c>
      <c r="M28" s="4"/>
      <c r="N28" s="105" t="s">
        <v>656</v>
      </c>
      <c r="O28" s="4" t="s">
        <v>76</v>
      </c>
      <c r="P28" s="74" t="s">
        <v>376</v>
      </c>
      <c r="Q28" s="97">
        <v>2025</v>
      </c>
      <c r="R28" s="72" t="s">
        <v>626</v>
      </c>
      <c r="S28" s="94"/>
    </row>
    <row r="29" spans="1:19" ht="15.5">
      <c r="A29" s="94">
        <v>18</v>
      </c>
      <c r="B29" s="100">
        <v>250187</v>
      </c>
      <c r="C29" s="3">
        <v>3197831032</v>
      </c>
      <c r="D29" s="56" t="s">
        <v>628</v>
      </c>
      <c r="E29" s="36" t="s">
        <v>30</v>
      </c>
      <c r="F29" s="102" t="s">
        <v>37</v>
      </c>
      <c r="G29" s="77" t="s">
        <v>629</v>
      </c>
      <c r="H29" s="94" t="s">
        <v>29</v>
      </c>
      <c r="I29" s="94" t="s">
        <v>630</v>
      </c>
      <c r="J29" s="94" t="s">
        <v>38</v>
      </c>
      <c r="K29" s="94" t="s">
        <v>42</v>
      </c>
      <c r="L29" s="105" t="s">
        <v>704</v>
      </c>
      <c r="M29" s="105"/>
      <c r="N29" s="105" t="s">
        <v>656</v>
      </c>
      <c r="O29" s="94" t="s">
        <v>76</v>
      </c>
      <c r="P29" s="10" t="s">
        <v>376</v>
      </c>
      <c r="Q29" s="97">
        <v>2025</v>
      </c>
      <c r="R29" s="57" t="s">
        <v>631</v>
      </c>
      <c r="S29" s="94"/>
    </row>
    <row r="30" spans="1:19" ht="15.5">
      <c r="A30" s="94">
        <v>19</v>
      </c>
      <c r="B30" s="100">
        <v>250183</v>
      </c>
      <c r="C30" s="118" t="s">
        <v>773</v>
      </c>
      <c r="D30" s="56" t="s">
        <v>615</v>
      </c>
      <c r="E30" s="36" t="s">
        <v>26</v>
      </c>
      <c r="F30" s="102" t="s">
        <v>37</v>
      </c>
      <c r="G30" s="77">
        <v>43747</v>
      </c>
      <c r="H30" s="94" t="s">
        <v>29</v>
      </c>
      <c r="I30" s="94" t="s">
        <v>616</v>
      </c>
      <c r="J30" s="94" t="s">
        <v>38</v>
      </c>
      <c r="K30" s="94" t="s">
        <v>41</v>
      </c>
      <c r="L30" s="105" t="s">
        <v>705</v>
      </c>
      <c r="M30" s="105"/>
      <c r="N30" s="105" t="s">
        <v>656</v>
      </c>
      <c r="O30" s="94" t="s">
        <v>76</v>
      </c>
      <c r="P30" s="10" t="s">
        <v>376</v>
      </c>
      <c r="Q30" s="97">
        <v>2025</v>
      </c>
      <c r="R30" s="56" t="s">
        <v>617</v>
      </c>
      <c r="S30" s="94"/>
    </row>
    <row r="31" spans="1:19" ht="15.5">
      <c r="A31" s="94">
        <v>20</v>
      </c>
      <c r="B31" s="100">
        <v>250195</v>
      </c>
      <c r="C31" s="3" t="s">
        <v>776</v>
      </c>
      <c r="D31" s="56" t="s">
        <v>654</v>
      </c>
      <c r="E31" s="36" t="s">
        <v>30</v>
      </c>
      <c r="F31" s="102" t="s">
        <v>37</v>
      </c>
      <c r="G31" s="77">
        <v>43776</v>
      </c>
      <c r="H31" s="94" t="s">
        <v>29</v>
      </c>
      <c r="I31" s="94"/>
      <c r="J31" s="94"/>
      <c r="K31" s="94"/>
      <c r="L31" s="105" t="s">
        <v>655</v>
      </c>
      <c r="M31" s="105" t="s">
        <v>40</v>
      </c>
      <c r="N31" s="105" t="s">
        <v>656</v>
      </c>
      <c r="O31" s="94" t="s">
        <v>76</v>
      </c>
      <c r="P31" s="10" t="s">
        <v>376</v>
      </c>
      <c r="Q31" s="97">
        <v>2025</v>
      </c>
      <c r="R31" s="56" t="s">
        <v>79</v>
      </c>
      <c r="S31" s="94"/>
    </row>
    <row r="32" spans="1:19" ht="15.5">
      <c r="A32" s="94">
        <v>21</v>
      </c>
      <c r="B32" s="100">
        <v>250202</v>
      </c>
      <c r="C32" s="3" t="s">
        <v>777</v>
      </c>
      <c r="D32" s="5" t="s">
        <v>676</v>
      </c>
      <c r="E32" s="94" t="s">
        <v>30</v>
      </c>
      <c r="F32" s="94" t="s">
        <v>37</v>
      </c>
      <c r="G32" s="94" t="s">
        <v>677</v>
      </c>
      <c r="H32" s="94" t="s">
        <v>29</v>
      </c>
      <c r="I32" s="94" t="s">
        <v>678</v>
      </c>
      <c r="J32" s="94" t="s">
        <v>40</v>
      </c>
      <c r="K32" s="94" t="s">
        <v>39</v>
      </c>
      <c r="L32" s="105" t="s">
        <v>706</v>
      </c>
      <c r="M32" s="105"/>
      <c r="N32" s="105" t="s">
        <v>656</v>
      </c>
      <c r="O32" s="94" t="s">
        <v>76</v>
      </c>
      <c r="P32" s="10" t="s">
        <v>376</v>
      </c>
      <c r="Q32" s="97">
        <v>2025</v>
      </c>
      <c r="R32" s="5" t="s">
        <v>613</v>
      </c>
      <c r="S32" s="94"/>
    </row>
    <row r="33" spans="1:19" ht="15.5">
      <c r="A33" s="94">
        <v>22</v>
      </c>
      <c r="B33" s="100">
        <v>250192</v>
      </c>
      <c r="C33" s="3" t="s">
        <v>779</v>
      </c>
      <c r="D33" s="56" t="s">
        <v>644</v>
      </c>
      <c r="E33" s="36" t="s">
        <v>30</v>
      </c>
      <c r="F33" s="102" t="s">
        <v>37</v>
      </c>
      <c r="G33" s="77">
        <v>43774</v>
      </c>
      <c r="H33" s="94" t="s">
        <v>29</v>
      </c>
      <c r="I33" s="94" t="s">
        <v>645</v>
      </c>
      <c r="J33" s="94" t="s">
        <v>314</v>
      </c>
      <c r="K33" s="94" t="s">
        <v>41</v>
      </c>
      <c r="L33" s="105" t="s">
        <v>707</v>
      </c>
      <c r="M33" s="105"/>
      <c r="N33" s="105" t="s">
        <v>656</v>
      </c>
      <c r="O33" s="94" t="s">
        <v>76</v>
      </c>
      <c r="P33" s="10" t="s">
        <v>376</v>
      </c>
      <c r="Q33" s="97">
        <v>2025</v>
      </c>
      <c r="R33" s="56" t="s">
        <v>646</v>
      </c>
      <c r="S33" s="94"/>
    </row>
    <row r="34" spans="1:19" ht="15.5">
      <c r="A34" s="94">
        <v>23</v>
      </c>
      <c r="B34" s="100">
        <v>250198</v>
      </c>
      <c r="C34" s="109">
        <v>3197936622</v>
      </c>
      <c r="D34" s="5" t="s">
        <v>661</v>
      </c>
      <c r="E34" s="94" t="s">
        <v>30</v>
      </c>
      <c r="F34" s="94" t="s">
        <v>37</v>
      </c>
      <c r="G34" s="104">
        <v>43808</v>
      </c>
      <c r="H34" s="94" t="s">
        <v>29</v>
      </c>
      <c r="I34" s="94" t="s">
        <v>662</v>
      </c>
      <c r="J34" s="94" t="s">
        <v>38</v>
      </c>
      <c r="K34" s="94" t="s">
        <v>42</v>
      </c>
      <c r="L34" s="105" t="s">
        <v>708</v>
      </c>
      <c r="M34" s="105"/>
      <c r="N34" s="105" t="s">
        <v>709</v>
      </c>
      <c r="O34" s="94" t="s">
        <v>76</v>
      </c>
      <c r="P34" s="10" t="s">
        <v>376</v>
      </c>
      <c r="Q34" s="97">
        <v>2025</v>
      </c>
      <c r="R34" s="5" t="s">
        <v>663</v>
      </c>
      <c r="S34" s="94"/>
    </row>
    <row r="35" spans="1:19" ht="15.5">
      <c r="A35" s="94">
        <v>24</v>
      </c>
      <c r="B35" s="94"/>
      <c r="C35" s="94"/>
      <c r="D35" s="5"/>
      <c r="E35" s="94"/>
      <c r="F35" s="94"/>
      <c r="G35" s="94"/>
      <c r="H35" s="94"/>
      <c r="I35" s="94"/>
      <c r="J35" s="94"/>
      <c r="K35" s="94"/>
      <c r="L35" s="105"/>
      <c r="M35" s="105"/>
      <c r="N35" s="105"/>
      <c r="O35" s="94"/>
      <c r="P35" s="94"/>
      <c r="Q35" s="94"/>
      <c r="R35" s="5"/>
      <c r="S35" s="94"/>
    </row>
    <row r="36" spans="1:19" ht="15.5">
      <c r="A36" s="94">
        <v>25</v>
      </c>
      <c r="B36" s="94"/>
      <c r="C36" s="94"/>
      <c r="D36" s="5"/>
      <c r="E36" s="94"/>
      <c r="F36" s="94"/>
      <c r="G36" s="94"/>
      <c r="H36" s="94"/>
      <c r="I36" s="94"/>
      <c r="J36" s="94"/>
      <c r="K36" s="94"/>
      <c r="L36" s="105"/>
      <c r="M36" s="105"/>
      <c r="N36" s="105"/>
      <c r="O36" s="94"/>
      <c r="P36" s="94"/>
      <c r="Q36" s="94"/>
      <c r="R36" s="5"/>
      <c r="S36" s="94"/>
    </row>
    <row r="37" spans="1:19" ht="15.5">
      <c r="A37" s="1"/>
      <c r="B37" s="95"/>
      <c r="C37" s="1"/>
      <c r="D37" s="1"/>
      <c r="E37" s="1"/>
      <c r="F37" s="81"/>
      <c r="G37" s="95"/>
      <c r="H37" s="1"/>
      <c r="I37" s="95"/>
      <c r="J37" s="1"/>
      <c r="K37" s="1"/>
      <c r="L37" s="1"/>
      <c r="M37" s="1"/>
      <c r="N37" s="1"/>
      <c r="O37" s="1"/>
      <c r="P37" s="1"/>
      <c r="R37" s="61"/>
      <c r="S37" s="1"/>
    </row>
    <row r="38" spans="1:19" ht="15.5">
      <c r="A38" s="1"/>
      <c r="B38" s="8" t="s">
        <v>34</v>
      </c>
      <c r="C38" s="1"/>
      <c r="D38" s="1"/>
      <c r="E38" s="1"/>
      <c r="F38" s="81"/>
      <c r="G38" s="95"/>
      <c r="H38" s="1"/>
      <c r="I38" s="95"/>
      <c r="J38" s="1"/>
      <c r="K38" s="1"/>
      <c r="L38" s="1"/>
      <c r="M38" s="1"/>
      <c r="N38" s="1"/>
      <c r="O38" s="1"/>
      <c r="P38" s="1"/>
      <c r="Q38" s="9"/>
      <c r="R38" s="61"/>
      <c r="S38" s="1"/>
    </row>
    <row r="39" spans="1:19" ht="15.5">
      <c r="A39" s="1"/>
      <c r="B39" s="95" t="s">
        <v>26</v>
      </c>
      <c r="C39" s="1">
        <f>COUNTIF($E$12:$E$36, "L")</f>
        <v>9</v>
      </c>
      <c r="D39" s="1"/>
      <c r="E39" s="1"/>
      <c r="G39" s="95"/>
      <c r="H39" s="1"/>
      <c r="I39" s="95"/>
      <c r="J39" s="1"/>
      <c r="K39" s="1"/>
      <c r="L39" s="1"/>
      <c r="M39" s="1"/>
      <c r="N39" s="1"/>
      <c r="O39" s="1"/>
      <c r="P39" s="1"/>
      <c r="Q39" s="9"/>
      <c r="R39" s="62"/>
      <c r="S39" s="1"/>
    </row>
    <row r="40" spans="1:19" ht="15.5">
      <c r="A40" s="1"/>
      <c r="B40" s="95" t="s">
        <v>31</v>
      </c>
      <c r="C40" s="1">
        <f>COUNTIF($E$12:$E$36, "P")</f>
        <v>14</v>
      </c>
      <c r="D40" s="1"/>
      <c r="E40" s="1"/>
      <c r="F40" s="81"/>
      <c r="G40" s="95"/>
      <c r="H40" s="1"/>
      <c r="I40" s="95"/>
      <c r="J40" s="1"/>
      <c r="K40" s="1"/>
      <c r="L40" s="1"/>
      <c r="M40" s="1"/>
      <c r="N40" s="1"/>
      <c r="O40" s="1"/>
      <c r="P40" s="9" t="s">
        <v>612</v>
      </c>
      <c r="R40" s="61"/>
      <c r="S40" s="1"/>
    </row>
    <row r="41" spans="1:19" ht="15.5">
      <c r="A41" s="1"/>
      <c r="B41" s="95" t="s">
        <v>32</v>
      </c>
      <c r="C41" s="1">
        <f>C39+C40</f>
        <v>23</v>
      </c>
      <c r="D41" s="1"/>
      <c r="E41" s="1"/>
      <c r="F41" s="81"/>
      <c r="G41" s="95"/>
      <c r="H41" s="1"/>
      <c r="I41" s="95"/>
      <c r="J41" s="1"/>
      <c r="K41" s="1"/>
      <c r="L41" s="1"/>
      <c r="M41" s="1"/>
      <c r="N41" s="1"/>
      <c r="O41" s="1"/>
      <c r="P41" s="1" t="s">
        <v>370</v>
      </c>
      <c r="Q41" s="9"/>
      <c r="R41" s="62"/>
      <c r="S41" s="1"/>
    </row>
    <row r="42" spans="1:19" ht="15.5">
      <c r="A42" s="1"/>
      <c r="B42" s="1"/>
      <c r="C42" s="1"/>
      <c r="D42" s="1"/>
      <c r="E42" s="1"/>
      <c r="F42" s="81"/>
      <c r="G42" s="95"/>
      <c r="H42" s="1"/>
      <c r="I42" s="95"/>
      <c r="J42" s="1"/>
      <c r="K42" s="1"/>
      <c r="L42" s="1"/>
      <c r="M42" s="1"/>
      <c r="N42" s="1"/>
      <c r="O42" s="1"/>
      <c r="P42" s="9"/>
      <c r="Q42" s="9"/>
      <c r="R42" s="62"/>
      <c r="S42" s="1"/>
    </row>
    <row r="43" spans="1:19" ht="15.5">
      <c r="A43" s="1"/>
      <c r="B43" s="1"/>
      <c r="C43" s="1"/>
      <c r="D43" s="1"/>
      <c r="E43" s="1"/>
      <c r="F43" s="81"/>
      <c r="G43" s="95"/>
      <c r="H43" s="1"/>
      <c r="I43" s="95"/>
      <c r="J43" s="1"/>
      <c r="K43" s="1"/>
      <c r="L43" s="1"/>
      <c r="M43" s="1"/>
      <c r="N43" s="1"/>
      <c r="O43" s="1"/>
      <c r="P43" s="9"/>
      <c r="Q43" s="9"/>
      <c r="R43" s="62"/>
      <c r="S43" s="1"/>
    </row>
    <row r="44" spans="1:19" ht="15.5">
      <c r="A44" s="1"/>
      <c r="B44" s="1"/>
      <c r="C44" s="1"/>
      <c r="D44" s="1"/>
      <c r="E44" s="1"/>
      <c r="F44" s="81"/>
      <c r="G44" s="95"/>
      <c r="H44" s="1"/>
      <c r="I44" s="95"/>
      <c r="J44" s="1"/>
      <c r="K44" s="1"/>
      <c r="L44" s="1"/>
      <c r="M44" s="1"/>
      <c r="N44" s="1"/>
      <c r="O44" s="1"/>
      <c r="P44" s="9"/>
      <c r="Q44" s="9"/>
      <c r="R44" s="62"/>
      <c r="S44" s="1"/>
    </row>
    <row r="45" spans="1:19" ht="15.5">
      <c r="P45" s="53" t="s">
        <v>371</v>
      </c>
      <c r="R45" s="62"/>
    </row>
    <row r="46" spans="1:19" ht="15.5">
      <c r="P46" s="1" t="s">
        <v>372</v>
      </c>
      <c r="Q46" s="9"/>
      <c r="R46" s="62"/>
    </row>
  </sheetData>
  <sortState xmlns:xlrd2="http://schemas.microsoft.com/office/spreadsheetml/2017/richdata2" ref="A9:S36">
    <sortCondition ref="D12:D34"/>
  </sortState>
  <mergeCells count="13">
    <mergeCell ref="P9:Q9"/>
    <mergeCell ref="R9:R10"/>
    <mergeCell ref="S9:S10"/>
    <mergeCell ref="A1:S1"/>
    <mergeCell ref="A2:S2"/>
    <mergeCell ref="A9:A10"/>
    <mergeCell ref="B9:C9"/>
    <mergeCell ref="D9:D10"/>
    <mergeCell ref="E9:E10"/>
    <mergeCell ref="F9:G9"/>
    <mergeCell ref="H9:H10"/>
    <mergeCell ref="O9:O10"/>
    <mergeCell ref="I9:N9"/>
  </mergeCells>
  <dataValidations count="3">
    <dataValidation type="list" allowBlank="1" showDropDown="1" showInputMessage="1" showErrorMessage="1" error="Gunakan L = Laki-laki, P = Perempuan" prompt="L = Laki-laki_x000a_P = Perempuan" sqref="E13:E25" xr:uid="{00000000-0002-0000-0000-000000000000}">
      <formula1>"L, P,"</formula1>
    </dataValidation>
    <dataValidation allowBlank="1" showInputMessage="1" showErrorMessage="1" prompt="(yyyy-mm-dd)_x000a_1996-05-18" sqref="G13:G25" xr:uid="{00000000-0002-0000-0000-000001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3:H25" xr:uid="{00000000-0002-0000-0000-000002000000}">
      <formula1>"A, B, C, D, E, F, G, H, I, J, K, L,"</formula1>
    </dataValidation>
  </dataValidations>
  <pageMargins left="0.39370078740157483" right="0.39370078740157483" top="0.39370078740157483" bottom="0.39370078740157483" header="0" footer="0"/>
  <pageSetup paperSize="20000" scale="67" orientation="landscape" horizontalDpi="0" verticalDpi="0" r:id="rId1"/>
  <ignoredErrors>
    <ignoredError sqref="C13:C14 P12:P34 C23:C24 C16:C22 C25:C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4"/>
  <sheetViews>
    <sheetView topLeftCell="A10" zoomScale="95" zoomScaleNormal="95" workbookViewId="0">
      <selection activeCell="A12" sqref="A12:A24"/>
    </sheetView>
  </sheetViews>
  <sheetFormatPr defaultColWidth="9.1796875" defaultRowHeight="13"/>
  <cols>
    <col min="1" max="1" width="6" style="55" customWidth="1"/>
    <col min="2" max="2" width="10.453125" style="55" customWidth="1"/>
    <col min="3" max="3" width="12.7265625" style="55" customWidth="1"/>
    <col min="4" max="4" width="28.26953125" style="55" bestFit="1" customWidth="1"/>
    <col min="5" max="5" width="9.1796875" style="55"/>
    <col min="6" max="6" width="13.54296875" style="82" bestFit="1" customWidth="1"/>
    <col min="7" max="7" width="14.81640625" style="79" bestFit="1" customWidth="1"/>
    <col min="8" max="8" width="9.1796875" style="55"/>
    <col min="9" max="9" width="27" style="79" bestFit="1" customWidth="1"/>
    <col min="10" max="10" width="9.1796875" style="55"/>
    <col min="11" max="11" width="13.81640625" style="55" bestFit="1" customWidth="1"/>
    <col min="12" max="12" width="17.54296875" style="55" bestFit="1" customWidth="1"/>
    <col min="13" max="13" width="6.1796875" style="55" bestFit="1" customWidth="1"/>
    <col min="14" max="14" width="10.54296875" style="55" bestFit="1" customWidth="1"/>
    <col min="15" max="15" width="18.26953125" style="55" bestFit="1" customWidth="1"/>
    <col min="16" max="16" width="10.1796875" style="55" bestFit="1" customWidth="1"/>
    <col min="17" max="17" width="9.1796875" style="55"/>
    <col min="18" max="18" width="59.453125" style="55" bestFit="1" customWidth="1"/>
    <col min="19" max="16384" width="9.1796875" style="55"/>
  </cols>
  <sheetData>
    <row r="1" spans="1:19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</row>
    <row r="2" spans="1:19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19" ht="15.5">
      <c r="A3" s="1"/>
      <c r="B3" s="1"/>
      <c r="C3" s="1"/>
      <c r="D3" s="1"/>
      <c r="E3" s="1"/>
      <c r="F3" s="81"/>
      <c r="G3" s="66"/>
      <c r="H3" s="1"/>
      <c r="I3" s="87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>
      <c r="A4" s="1" t="s">
        <v>1</v>
      </c>
      <c r="B4" s="1"/>
      <c r="C4" s="1" t="s">
        <v>108</v>
      </c>
      <c r="D4" s="1"/>
      <c r="E4" s="1"/>
      <c r="F4" s="81"/>
      <c r="G4" s="66"/>
      <c r="H4" s="1"/>
      <c r="I4" s="87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>
      <c r="A5" s="1" t="s">
        <v>2</v>
      </c>
      <c r="B5" s="1"/>
      <c r="C5" s="6" t="s">
        <v>109</v>
      </c>
      <c r="D5" s="6"/>
      <c r="E5" s="1"/>
      <c r="F5" s="81"/>
      <c r="G5" s="66"/>
      <c r="H5" s="1"/>
      <c r="I5" s="87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>
      <c r="A6" s="1" t="s">
        <v>3</v>
      </c>
      <c r="B6" s="1"/>
      <c r="C6" s="1" t="s">
        <v>374</v>
      </c>
      <c r="D6" s="1"/>
      <c r="E6" s="1"/>
      <c r="F6" s="81"/>
      <c r="G6" s="66"/>
      <c r="H6" s="1"/>
      <c r="I6" s="87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>
      <c r="A7" s="1" t="s">
        <v>4</v>
      </c>
      <c r="B7" s="1"/>
      <c r="C7" s="1" t="s">
        <v>110</v>
      </c>
      <c r="D7" s="1"/>
      <c r="E7" s="1"/>
      <c r="F7" s="81"/>
      <c r="G7" s="66"/>
      <c r="H7" s="1"/>
      <c r="I7" s="87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>
      <c r="A8" s="1"/>
      <c r="B8" s="1"/>
      <c r="C8" s="1"/>
      <c r="D8" s="1"/>
      <c r="E8" s="1"/>
      <c r="F8" s="81"/>
      <c r="G8" s="66"/>
      <c r="H8" s="1"/>
      <c r="I8" s="87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7.25" customHeight="1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47" t="s">
        <v>13</v>
      </c>
      <c r="J9" s="148"/>
      <c r="K9" s="148"/>
      <c r="L9" s="148"/>
      <c r="M9" s="148"/>
      <c r="N9" s="149"/>
      <c r="O9" s="150" t="s">
        <v>17</v>
      </c>
      <c r="P9" s="144" t="s">
        <v>21</v>
      </c>
      <c r="Q9" s="144"/>
      <c r="R9" s="144" t="s">
        <v>24</v>
      </c>
      <c r="S9" s="144" t="s">
        <v>25</v>
      </c>
    </row>
    <row r="10" spans="1:19" ht="17.25" customHeight="1">
      <c r="A10" s="144"/>
      <c r="B10" s="64" t="s">
        <v>7</v>
      </c>
      <c r="C10" s="64" t="s">
        <v>8</v>
      </c>
      <c r="D10" s="146"/>
      <c r="E10" s="144"/>
      <c r="F10" s="64" t="s">
        <v>27</v>
      </c>
      <c r="G10" s="64" t="s">
        <v>28</v>
      </c>
      <c r="H10" s="144"/>
      <c r="I10" s="86" t="s">
        <v>14</v>
      </c>
      <c r="J10" s="64" t="s">
        <v>15</v>
      </c>
      <c r="K10" s="64" t="s">
        <v>16</v>
      </c>
      <c r="L10" s="105" t="s">
        <v>687</v>
      </c>
      <c r="M10" s="105" t="s">
        <v>15</v>
      </c>
      <c r="N10" s="105" t="s">
        <v>16</v>
      </c>
      <c r="O10" s="151"/>
      <c r="P10" s="64" t="s">
        <v>22</v>
      </c>
      <c r="Q10" s="64" t="s">
        <v>23</v>
      </c>
      <c r="R10" s="144"/>
      <c r="S10" s="144"/>
    </row>
    <row r="11" spans="1:19" ht="17.25" customHeight="1">
      <c r="A11" s="65">
        <v>1</v>
      </c>
      <c r="B11" s="65">
        <f t="shared" ref="B11:K11" si="0">A11+1</f>
        <v>2</v>
      </c>
      <c r="C11" s="65">
        <f t="shared" si="0"/>
        <v>3</v>
      </c>
      <c r="D11" s="65">
        <f t="shared" si="0"/>
        <v>4</v>
      </c>
      <c r="E11" s="65">
        <f t="shared" si="0"/>
        <v>5</v>
      </c>
      <c r="F11" s="65">
        <f t="shared" si="0"/>
        <v>6</v>
      </c>
      <c r="G11" s="65">
        <f t="shared" si="0"/>
        <v>7</v>
      </c>
      <c r="H11" s="65">
        <f t="shared" si="0"/>
        <v>8</v>
      </c>
      <c r="I11" s="88">
        <f t="shared" si="0"/>
        <v>9</v>
      </c>
      <c r="J11" s="65">
        <f t="shared" si="0"/>
        <v>10</v>
      </c>
      <c r="K11" s="65">
        <f t="shared" si="0"/>
        <v>11</v>
      </c>
      <c r="L11" s="107">
        <f t="shared" ref="L11" si="1">K11+1</f>
        <v>12</v>
      </c>
      <c r="M11" s="107">
        <f t="shared" ref="M11" si="2">L11+1</f>
        <v>13</v>
      </c>
      <c r="N11" s="107">
        <f t="shared" ref="N11" si="3">M11+1</f>
        <v>14</v>
      </c>
      <c r="O11" s="107">
        <f t="shared" ref="O11" si="4">N11+1</f>
        <v>15</v>
      </c>
      <c r="P11" s="107">
        <f t="shared" ref="P11" si="5">O11+1</f>
        <v>16</v>
      </c>
      <c r="Q11" s="107">
        <f t="shared" ref="Q11" si="6">P11+1</f>
        <v>17</v>
      </c>
      <c r="R11" s="107">
        <f t="shared" ref="R11" si="7">Q11+1</f>
        <v>18</v>
      </c>
      <c r="S11" s="107">
        <f t="shared" ref="S11" si="8">R11+1</f>
        <v>19</v>
      </c>
    </row>
    <row r="12" spans="1:19" ht="17.25" customHeight="1">
      <c r="A12" s="65">
        <v>1</v>
      </c>
      <c r="B12" s="65">
        <v>240177</v>
      </c>
      <c r="C12" s="65">
        <v>3189872879</v>
      </c>
      <c r="D12" s="52" t="s">
        <v>416</v>
      </c>
      <c r="E12" s="65" t="s">
        <v>26</v>
      </c>
      <c r="F12" s="65" t="s">
        <v>37</v>
      </c>
      <c r="G12" s="76" t="s">
        <v>810</v>
      </c>
      <c r="H12" s="65" t="s">
        <v>29</v>
      </c>
      <c r="I12" s="88" t="s">
        <v>417</v>
      </c>
      <c r="J12" s="65" t="s">
        <v>40</v>
      </c>
      <c r="K12" s="65" t="s">
        <v>39</v>
      </c>
      <c r="L12" s="107" t="s">
        <v>717</v>
      </c>
      <c r="M12" s="107"/>
      <c r="N12" s="107" t="s">
        <v>656</v>
      </c>
      <c r="O12" s="65" t="s">
        <v>76</v>
      </c>
      <c r="P12" s="50" t="s">
        <v>376</v>
      </c>
      <c r="Q12" s="65">
        <v>2024</v>
      </c>
      <c r="R12" s="52" t="s">
        <v>418</v>
      </c>
      <c r="S12" s="65"/>
    </row>
    <row r="13" spans="1:19" ht="17.25" customHeight="1">
      <c r="A13" s="64">
        <v>2</v>
      </c>
      <c r="B13" s="14" t="s">
        <v>518</v>
      </c>
      <c r="C13" s="3">
        <v>3173562830</v>
      </c>
      <c r="D13" s="56" t="s">
        <v>408</v>
      </c>
      <c r="E13" s="36" t="s">
        <v>30</v>
      </c>
      <c r="F13" s="67" t="s">
        <v>35</v>
      </c>
      <c r="G13" s="77" t="s">
        <v>807</v>
      </c>
      <c r="H13" s="64" t="s">
        <v>29</v>
      </c>
      <c r="I13" s="86" t="s">
        <v>409</v>
      </c>
      <c r="J13" s="64" t="s">
        <v>36</v>
      </c>
      <c r="K13" s="64" t="s">
        <v>39</v>
      </c>
      <c r="L13" s="105" t="s">
        <v>720</v>
      </c>
      <c r="M13" s="105"/>
      <c r="N13" s="105" t="s">
        <v>656</v>
      </c>
      <c r="O13" s="64" t="s">
        <v>76</v>
      </c>
      <c r="P13" s="10" t="s">
        <v>376</v>
      </c>
      <c r="Q13" s="64">
        <v>2024</v>
      </c>
      <c r="R13" s="56" t="s">
        <v>410</v>
      </c>
      <c r="S13" s="64"/>
    </row>
    <row r="14" spans="1:19" ht="17.25" customHeight="1">
      <c r="A14" s="140">
        <v>3</v>
      </c>
      <c r="B14" s="14" t="s">
        <v>519</v>
      </c>
      <c r="C14" s="3">
        <v>3177099071</v>
      </c>
      <c r="D14" s="56" t="s">
        <v>411</v>
      </c>
      <c r="E14" s="36" t="s">
        <v>30</v>
      </c>
      <c r="F14" s="67" t="s">
        <v>35</v>
      </c>
      <c r="G14" s="77">
        <v>42746</v>
      </c>
      <c r="H14" s="64" t="s">
        <v>29</v>
      </c>
      <c r="I14" s="86" t="s">
        <v>192</v>
      </c>
      <c r="J14" s="64" t="s">
        <v>40</v>
      </c>
      <c r="K14" s="64" t="s">
        <v>42</v>
      </c>
      <c r="L14" s="105" t="s">
        <v>719</v>
      </c>
      <c r="M14" s="105"/>
      <c r="N14" s="105" t="s">
        <v>656</v>
      </c>
      <c r="O14" s="64" t="s">
        <v>76</v>
      </c>
      <c r="P14" s="10" t="s">
        <v>376</v>
      </c>
      <c r="Q14" s="64">
        <v>2024</v>
      </c>
      <c r="R14" s="56" t="s">
        <v>412</v>
      </c>
      <c r="S14" s="64"/>
    </row>
    <row r="15" spans="1:19" ht="17.25" customHeight="1">
      <c r="A15" s="139">
        <v>4</v>
      </c>
      <c r="B15" s="14" t="s">
        <v>520</v>
      </c>
      <c r="C15" s="3">
        <v>3163297330</v>
      </c>
      <c r="D15" s="56" t="s">
        <v>419</v>
      </c>
      <c r="E15" s="36" t="s">
        <v>26</v>
      </c>
      <c r="F15" s="67" t="s">
        <v>37</v>
      </c>
      <c r="G15" s="77">
        <v>42558</v>
      </c>
      <c r="H15" s="4" t="s">
        <v>29</v>
      </c>
      <c r="I15" s="4" t="s">
        <v>420</v>
      </c>
      <c r="J15" s="4" t="s">
        <v>40</v>
      </c>
      <c r="K15" s="4" t="s">
        <v>42</v>
      </c>
      <c r="L15" s="4" t="s">
        <v>718</v>
      </c>
      <c r="M15" s="4"/>
      <c r="N15" s="4" t="s">
        <v>331</v>
      </c>
      <c r="O15" s="4" t="s">
        <v>76</v>
      </c>
      <c r="P15" s="74" t="s">
        <v>376</v>
      </c>
      <c r="Q15" s="4">
        <v>2024</v>
      </c>
      <c r="R15" s="72" t="s">
        <v>421</v>
      </c>
      <c r="S15" s="64"/>
    </row>
    <row r="16" spans="1:19" s="75" customFormat="1" ht="17.25" customHeight="1">
      <c r="A16" s="140">
        <v>5</v>
      </c>
      <c r="B16" s="70" t="s">
        <v>521</v>
      </c>
      <c r="C16" s="71">
        <v>3173618169</v>
      </c>
      <c r="D16" s="72" t="s">
        <v>413</v>
      </c>
      <c r="E16" s="73" t="s">
        <v>26</v>
      </c>
      <c r="F16" s="80" t="s">
        <v>37</v>
      </c>
      <c r="G16" s="78" t="s">
        <v>808</v>
      </c>
      <c r="H16" s="4" t="s">
        <v>29</v>
      </c>
      <c r="I16" s="4" t="s">
        <v>414</v>
      </c>
      <c r="J16" s="4" t="s">
        <v>400</v>
      </c>
      <c r="K16" s="4" t="s">
        <v>41</v>
      </c>
      <c r="L16" s="4" t="s">
        <v>716</v>
      </c>
      <c r="M16" s="4"/>
      <c r="N16" s="4" t="s">
        <v>42</v>
      </c>
      <c r="O16" s="4" t="s">
        <v>76</v>
      </c>
      <c r="P16" s="74" t="s">
        <v>376</v>
      </c>
      <c r="Q16" s="4">
        <v>2024</v>
      </c>
      <c r="R16" s="72" t="s">
        <v>415</v>
      </c>
      <c r="S16" s="4"/>
    </row>
    <row r="17" spans="1:19" ht="17.25" customHeight="1">
      <c r="A17" s="139">
        <v>6</v>
      </c>
      <c r="B17" s="14" t="s">
        <v>522</v>
      </c>
      <c r="C17" s="3">
        <v>3189916749</v>
      </c>
      <c r="D17" s="56" t="s">
        <v>422</v>
      </c>
      <c r="E17" s="36" t="s">
        <v>26</v>
      </c>
      <c r="F17" s="67" t="s">
        <v>37</v>
      </c>
      <c r="G17" s="77" t="s">
        <v>810</v>
      </c>
      <c r="H17" s="64" t="s">
        <v>29</v>
      </c>
      <c r="I17" s="86" t="s">
        <v>121</v>
      </c>
      <c r="J17" s="64" t="s">
        <v>40</v>
      </c>
      <c r="K17" s="64" t="s">
        <v>423</v>
      </c>
      <c r="L17" s="105" t="s">
        <v>715</v>
      </c>
      <c r="M17" s="105"/>
      <c r="N17" s="105" t="s">
        <v>656</v>
      </c>
      <c r="O17" s="64" t="s">
        <v>76</v>
      </c>
      <c r="P17" s="10" t="s">
        <v>376</v>
      </c>
      <c r="Q17" s="64">
        <v>2024</v>
      </c>
      <c r="R17" s="57" t="s">
        <v>133</v>
      </c>
      <c r="S17" s="64"/>
    </row>
    <row r="18" spans="1:19" ht="17.25" customHeight="1">
      <c r="A18" s="140">
        <v>7</v>
      </c>
      <c r="B18" s="14" t="s">
        <v>523</v>
      </c>
      <c r="C18" s="3">
        <v>3184983339</v>
      </c>
      <c r="D18" s="56" t="s">
        <v>424</v>
      </c>
      <c r="E18" s="36" t="s">
        <v>26</v>
      </c>
      <c r="F18" s="67" t="s">
        <v>35</v>
      </c>
      <c r="G18" s="77" t="s">
        <v>812</v>
      </c>
      <c r="H18" s="64" t="s">
        <v>29</v>
      </c>
      <c r="I18" s="86" t="s">
        <v>425</v>
      </c>
      <c r="J18" s="64" t="s">
        <v>38</v>
      </c>
      <c r="K18" s="64" t="s">
        <v>39</v>
      </c>
      <c r="L18" s="105" t="s">
        <v>714</v>
      </c>
      <c r="M18" s="105"/>
      <c r="N18" s="105" t="s">
        <v>42</v>
      </c>
      <c r="O18" s="64" t="s">
        <v>76</v>
      </c>
      <c r="P18" s="10" t="s">
        <v>376</v>
      </c>
      <c r="Q18" s="64">
        <v>2024</v>
      </c>
      <c r="R18" s="57" t="s">
        <v>426</v>
      </c>
      <c r="S18" s="64"/>
    </row>
    <row r="19" spans="1:19" ht="17.25" customHeight="1">
      <c r="A19" s="139">
        <v>8</v>
      </c>
      <c r="B19" s="14" t="s">
        <v>524</v>
      </c>
      <c r="C19" s="3">
        <v>3176269887</v>
      </c>
      <c r="D19" s="56" t="s">
        <v>427</v>
      </c>
      <c r="E19" s="36" t="s">
        <v>26</v>
      </c>
      <c r="F19" s="67" t="s">
        <v>37</v>
      </c>
      <c r="G19" s="77">
        <v>42924</v>
      </c>
      <c r="H19" s="64" t="s">
        <v>29</v>
      </c>
      <c r="I19" s="86" t="s">
        <v>428</v>
      </c>
      <c r="J19" s="64" t="s">
        <v>40</v>
      </c>
      <c r="K19" s="64" t="s">
        <v>39</v>
      </c>
      <c r="L19" s="105" t="s">
        <v>713</v>
      </c>
      <c r="M19" s="105"/>
      <c r="N19" s="105" t="s">
        <v>656</v>
      </c>
      <c r="O19" s="64" t="s">
        <v>76</v>
      </c>
      <c r="P19" s="10" t="s">
        <v>376</v>
      </c>
      <c r="Q19" s="64">
        <v>2024</v>
      </c>
      <c r="R19" s="57" t="s">
        <v>82</v>
      </c>
      <c r="S19" s="64"/>
    </row>
    <row r="20" spans="1:19" ht="17.25" customHeight="1">
      <c r="A20" s="140">
        <v>9</v>
      </c>
      <c r="B20" s="14" t="s">
        <v>525</v>
      </c>
      <c r="C20" s="3">
        <v>3177697930</v>
      </c>
      <c r="D20" s="56" t="s">
        <v>429</v>
      </c>
      <c r="E20" s="36" t="s">
        <v>30</v>
      </c>
      <c r="F20" s="67" t="s">
        <v>430</v>
      </c>
      <c r="G20" s="77">
        <v>42921</v>
      </c>
      <c r="H20" s="64" t="s">
        <v>29</v>
      </c>
      <c r="I20" s="86" t="s">
        <v>431</v>
      </c>
      <c r="J20" s="64" t="s">
        <v>314</v>
      </c>
      <c r="K20" s="64" t="s">
        <v>42</v>
      </c>
      <c r="L20" s="105" t="s">
        <v>712</v>
      </c>
      <c r="M20" s="105" t="s">
        <v>43</v>
      </c>
      <c r="N20" s="105" t="s">
        <v>73</v>
      </c>
      <c r="O20" s="64" t="s">
        <v>76</v>
      </c>
      <c r="P20" s="10" t="s">
        <v>376</v>
      </c>
      <c r="Q20" s="64">
        <v>2024</v>
      </c>
      <c r="R20" s="56" t="s">
        <v>432</v>
      </c>
      <c r="S20" s="64"/>
    </row>
    <row r="21" spans="1:19" ht="17.25" customHeight="1">
      <c r="A21" s="139">
        <v>10</v>
      </c>
      <c r="B21" s="14" t="s">
        <v>526</v>
      </c>
      <c r="C21" s="3">
        <v>3182801307</v>
      </c>
      <c r="D21" s="56" t="s">
        <v>435</v>
      </c>
      <c r="E21" s="36" t="s">
        <v>30</v>
      </c>
      <c r="F21" s="67" t="s">
        <v>37</v>
      </c>
      <c r="G21" s="77">
        <v>43167</v>
      </c>
      <c r="H21" s="64" t="s">
        <v>29</v>
      </c>
      <c r="I21" s="86" t="s">
        <v>770</v>
      </c>
      <c r="J21" s="64"/>
      <c r="K21" s="64"/>
      <c r="L21" s="105"/>
      <c r="M21" s="105"/>
      <c r="N21" s="105"/>
      <c r="O21" s="64" t="s">
        <v>76</v>
      </c>
      <c r="P21" s="10" t="s">
        <v>376</v>
      </c>
      <c r="Q21" s="64">
        <v>2024</v>
      </c>
      <c r="R21" s="56" t="s">
        <v>434</v>
      </c>
      <c r="S21" s="64"/>
    </row>
    <row r="22" spans="1:19" ht="17.25" customHeight="1">
      <c r="A22" s="140">
        <v>11</v>
      </c>
      <c r="B22" s="14" t="s">
        <v>527</v>
      </c>
      <c r="C22" s="3">
        <v>3181025060</v>
      </c>
      <c r="D22" s="56" t="s">
        <v>433</v>
      </c>
      <c r="E22" s="36" t="s">
        <v>30</v>
      </c>
      <c r="F22" s="67" t="s">
        <v>37</v>
      </c>
      <c r="G22" s="77" t="s">
        <v>811</v>
      </c>
      <c r="H22" s="64" t="s">
        <v>29</v>
      </c>
      <c r="I22" s="86" t="s">
        <v>148</v>
      </c>
      <c r="J22" s="64" t="s">
        <v>38</v>
      </c>
      <c r="K22" s="64" t="s">
        <v>42</v>
      </c>
      <c r="L22" s="105" t="s">
        <v>711</v>
      </c>
      <c r="M22" s="105"/>
      <c r="N22" s="105" t="s">
        <v>331</v>
      </c>
      <c r="O22" s="64" t="s">
        <v>76</v>
      </c>
      <c r="P22" s="10" t="s">
        <v>376</v>
      </c>
      <c r="Q22" s="64">
        <v>2024</v>
      </c>
      <c r="R22" s="56" t="s">
        <v>434</v>
      </c>
      <c r="S22" s="64"/>
    </row>
    <row r="23" spans="1:19" ht="15.5">
      <c r="A23" s="139">
        <v>12</v>
      </c>
      <c r="B23" s="14" t="s">
        <v>528</v>
      </c>
      <c r="C23" s="3">
        <v>3187451635</v>
      </c>
      <c r="D23" s="56" t="s">
        <v>437</v>
      </c>
      <c r="E23" s="36" t="s">
        <v>26</v>
      </c>
      <c r="F23" s="85" t="s">
        <v>37</v>
      </c>
      <c r="G23" s="77" t="s">
        <v>809</v>
      </c>
      <c r="H23" s="83" t="s">
        <v>29</v>
      </c>
      <c r="I23" s="86" t="s">
        <v>438</v>
      </c>
      <c r="J23" s="83" t="s">
        <v>38</v>
      </c>
      <c r="K23" s="83" t="s">
        <v>439</v>
      </c>
      <c r="L23" s="105" t="s">
        <v>710</v>
      </c>
      <c r="M23" s="105"/>
      <c r="N23" s="105" t="s">
        <v>656</v>
      </c>
      <c r="O23" s="83" t="s">
        <v>76</v>
      </c>
      <c r="P23" s="10" t="s">
        <v>376</v>
      </c>
      <c r="Q23" s="83">
        <v>2024</v>
      </c>
      <c r="R23" s="56" t="s">
        <v>440</v>
      </c>
      <c r="S23" s="83"/>
    </row>
    <row r="24" spans="1:19" ht="15.5">
      <c r="A24" s="140">
        <v>13</v>
      </c>
      <c r="B24" s="94">
        <v>250205</v>
      </c>
      <c r="C24" s="94">
        <v>3175100508</v>
      </c>
      <c r="D24" s="5" t="s">
        <v>608</v>
      </c>
      <c r="E24" s="94" t="s">
        <v>26</v>
      </c>
      <c r="F24" s="94" t="s">
        <v>37</v>
      </c>
      <c r="G24" s="94" t="s">
        <v>609</v>
      </c>
      <c r="H24" s="94" t="s">
        <v>29</v>
      </c>
      <c r="I24" s="94" t="s">
        <v>610</v>
      </c>
      <c r="J24" s="94"/>
      <c r="K24" s="94"/>
      <c r="L24" s="105"/>
      <c r="M24" s="105"/>
      <c r="N24" s="105"/>
      <c r="O24" s="94" t="s">
        <v>611</v>
      </c>
      <c r="P24" s="94">
        <v>2</v>
      </c>
      <c r="Q24" s="94">
        <v>2025</v>
      </c>
      <c r="R24" s="5" t="s">
        <v>146</v>
      </c>
      <c r="S24" s="94"/>
    </row>
    <row r="25" spans="1:19" ht="15.5">
      <c r="A25" s="1"/>
      <c r="B25" s="84"/>
      <c r="C25" s="1"/>
      <c r="D25" s="1"/>
      <c r="E25" s="1"/>
      <c r="F25" s="81"/>
      <c r="G25" s="84"/>
      <c r="H25" s="1"/>
      <c r="I25" s="87"/>
      <c r="J25" s="1"/>
      <c r="K25" s="1"/>
      <c r="L25" s="1"/>
      <c r="M25" s="1"/>
      <c r="N25" s="1"/>
      <c r="O25" s="1"/>
      <c r="P25" s="1"/>
      <c r="R25" s="61"/>
      <c r="S25" s="1"/>
    </row>
    <row r="26" spans="1:19" ht="15.5">
      <c r="A26" s="1"/>
      <c r="B26" s="8" t="s">
        <v>34</v>
      </c>
      <c r="C26" s="1"/>
      <c r="D26" s="1"/>
      <c r="E26" s="1"/>
      <c r="F26" s="81"/>
      <c r="G26" s="66"/>
      <c r="H26" s="1"/>
      <c r="I26" s="87"/>
      <c r="J26" s="1"/>
      <c r="K26" s="1"/>
      <c r="L26" s="1"/>
      <c r="M26" s="1"/>
      <c r="N26" s="1"/>
      <c r="O26" s="1"/>
      <c r="P26" s="1"/>
      <c r="Q26" s="9"/>
      <c r="R26" s="61"/>
      <c r="S26" s="1"/>
    </row>
    <row r="27" spans="1:19" ht="15.5">
      <c r="A27" s="1"/>
      <c r="B27" s="66" t="s">
        <v>26</v>
      </c>
      <c r="C27" s="1">
        <f>COUNTIF($E$12:$E$24, "L")</f>
        <v>8</v>
      </c>
      <c r="D27" s="1"/>
      <c r="E27" s="1"/>
      <c r="G27" s="66"/>
      <c r="H27" s="1"/>
      <c r="I27" s="87"/>
      <c r="J27" s="1"/>
      <c r="K27" s="1"/>
      <c r="L27" s="1"/>
      <c r="M27" s="1"/>
      <c r="N27" s="1"/>
      <c r="O27" s="1"/>
      <c r="P27" s="1"/>
      <c r="Q27" s="9"/>
      <c r="R27" s="62"/>
      <c r="S27" s="1"/>
    </row>
    <row r="28" spans="1:19" ht="15.5">
      <c r="A28" s="1"/>
      <c r="B28" s="66" t="s">
        <v>31</v>
      </c>
      <c r="C28" s="1">
        <f>COUNTIF($E$12:$E$24, "P")</f>
        <v>5</v>
      </c>
      <c r="D28" s="1"/>
      <c r="E28" s="1"/>
      <c r="F28" s="81"/>
      <c r="G28" s="66"/>
      <c r="H28" s="1"/>
      <c r="I28" s="87"/>
      <c r="J28" s="1"/>
      <c r="K28" s="1"/>
      <c r="L28" s="1"/>
      <c r="M28" s="1"/>
      <c r="N28" s="1"/>
      <c r="O28" s="1"/>
      <c r="P28" s="9" t="s">
        <v>612</v>
      </c>
      <c r="R28" s="61"/>
      <c r="S28" s="1"/>
    </row>
    <row r="29" spans="1:19" ht="15.5">
      <c r="A29" s="1"/>
      <c r="B29" s="66" t="s">
        <v>32</v>
      </c>
      <c r="C29" s="1">
        <f>C27+C28</f>
        <v>13</v>
      </c>
      <c r="D29" s="1"/>
      <c r="E29" s="1"/>
      <c r="F29" s="81"/>
      <c r="G29" s="66"/>
      <c r="H29" s="1"/>
      <c r="I29" s="87"/>
      <c r="J29" s="1"/>
      <c r="K29" s="1"/>
      <c r="L29" s="1"/>
      <c r="M29" s="1"/>
      <c r="N29" s="1"/>
      <c r="O29" s="1"/>
      <c r="P29" s="1" t="s">
        <v>370</v>
      </c>
      <c r="Q29" s="9"/>
      <c r="R29" s="62"/>
      <c r="S29" s="1"/>
    </row>
    <row r="30" spans="1:19" ht="15.5">
      <c r="A30" s="1"/>
      <c r="B30" s="1"/>
      <c r="C30" s="1"/>
      <c r="D30" s="1"/>
      <c r="E30" s="1"/>
      <c r="F30" s="81"/>
      <c r="G30" s="66"/>
      <c r="H30" s="1"/>
      <c r="I30" s="87"/>
      <c r="J30" s="1"/>
      <c r="K30" s="1"/>
      <c r="L30" s="1"/>
      <c r="M30" s="1"/>
      <c r="N30" s="1"/>
      <c r="O30" s="1"/>
      <c r="P30" s="9"/>
      <c r="Q30" s="9"/>
      <c r="R30" s="62"/>
      <c r="S30" s="1"/>
    </row>
    <row r="31" spans="1:19" ht="15.5">
      <c r="A31" s="1"/>
      <c r="B31" s="1"/>
      <c r="C31" s="1"/>
      <c r="D31" s="1"/>
      <c r="E31" s="1"/>
      <c r="F31" s="81"/>
      <c r="G31" s="66"/>
      <c r="H31" s="1"/>
      <c r="I31" s="87"/>
      <c r="J31" s="1"/>
      <c r="K31" s="1"/>
      <c r="L31" s="1"/>
      <c r="M31" s="1"/>
      <c r="N31" s="1"/>
      <c r="O31" s="1"/>
      <c r="P31" s="9"/>
      <c r="Q31" s="9"/>
      <c r="R31" s="62"/>
      <c r="S31" s="1"/>
    </row>
    <row r="32" spans="1:19" ht="15.5">
      <c r="A32" s="1"/>
      <c r="B32" s="1"/>
      <c r="C32" s="1"/>
      <c r="D32" s="1"/>
      <c r="E32" s="1"/>
      <c r="F32" s="81"/>
      <c r="G32" s="66"/>
      <c r="H32" s="1"/>
      <c r="I32" s="87"/>
      <c r="J32" s="1"/>
      <c r="K32" s="1"/>
      <c r="L32" s="1"/>
      <c r="M32" s="1"/>
      <c r="N32" s="1"/>
      <c r="O32" s="1"/>
      <c r="P32" s="9"/>
      <c r="Q32" s="9"/>
      <c r="R32" s="62"/>
      <c r="S32" s="1"/>
    </row>
    <row r="33" spans="16:18" ht="15.5">
      <c r="P33" s="53" t="s">
        <v>371</v>
      </c>
      <c r="R33" s="62"/>
    </row>
    <row r="34" spans="16:18" ht="15.5">
      <c r="P34" s="1" t="s">
        <v>372</v>
      </c>
      <c r="Q34" s="9"/>
      <c r="R34" s="62"/>
    </row>
  </sheetData>
  <mergeCells count="13">
    <mergeCell ref="P9:Q9"/>
    <mergeCell ref="R9:R10"/>
    <mergeCell ref="S9:S10"/>
    <mergeCell ref="A1:S1"/>
    <mergeCell ref="A2:S2"/>
    <mergeCell ref="A9:A10"/>
    <mergeCell ref="B9:C9"/>
    <mergeCell ref="D9:D10"/>
    <mergeCell ref="E9:E10"/>
    <mergeCell ref="F9:G9"/>
    <mergeCell ref="H9:H10"/>
    <mergeCell ref="O9:O10"/>
    <mergeCell ref="I9:N9"/>
  </mergeCells>
  <conditionalFormatting sqref="B13:B23">
    <cfRule type="duplicateValues" dxfId="61" priority="198" stopIfTrue="1"/>
  </conditionalFormatting>
  <dataValidations count="4">
    <dataValidation allowBlank="1" showInputMessage="1" showErrorMessage="1" prompt="Nomor Induk Siswa" sqref="B13:B23" xr:uid="{00000000-0002-0000-0100-000000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3:H23" xr:uid="{00000000-0002-0000-0100-000001000000}">
      <formula1>"A, B, C, D, E, F, G, H, I, J, K, L,"</formula1>
    </dataValidation>
    <dataValidation allowBlank="1" showInputMessage="1" showErrorMessage="1" prompt="(yyyy-mm-dd)_x000a_1996-05-18" sqref="G13:G23" xr:uid="{00000000-0002-0000-0100-000002000000}"/>
    <dataValidation type="list" allowBlank="1" showDropDown="1" showInputMessage="1" showErrorMessage="1" error="Gunakan L = Laki-laki, P = Perempuan" prompt="L = Laki-laki_x000a_P = Perempuan" sqref="E13:E23" xr:uid="{00000000-0002-0000-0100-000003000000}">
      <formula1>"L, P,"</formula1>
    </dataValidation>
  </dataValidations>
  <pageMargins left="0.39370078740157483" right="0.39370078740157483" top="0.39370078740157483" bottom="0.39370078740157483" header="0" footer="0"/>
  <pageSetup paperSize="20000" scale="53" orientation="landscape" horizontalDpi="0" verticalDpi="0" r:id="rId1"/>
  <ignoredErrors>
    <ignoredError sqref="P12:P16 B13:B16 B19:B22 P17:P23 B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4"/>
  <sheetViews>
    <sheetView topLeftCell="A11" zoomScale="95" zoomScaleNormal="95" workbookViewId="0">
      <selection activeCell="C29" sqref="C29"/>
    </sheetView>
  </sheetViews>
  <sheetFormatPr defaultColWidth="9.1796875" defaultRowHeight="13"/>
  <cols>
    <col min="1" max="1" width="6" style="55" customWidth="1"/>
    <col min="2" max="2" width="10.453125" style="55" customWidth="1"/>
    <col min="3" max="3" width="12.7265625" style="55" customWidth="1"/>
    <col min="4" max="4" width="28.26953125" style="55" bestFit="1" customWidth="1"/>
    <col min="5" max="5" width="9.1796875" style="55"/>
    <col min="6" max="6" width="13.54296875" style="55" bestFit="1" customWidth="1"/>
    <col min="7" max="7" width="14.81640625" style="55" bestFit="1" customWidth="1"/>
    <col min="8" max="8" width="9.1796875" style="55"/>
    <col min="9" max="9" width="15.7265625" style="55" bestFit="1" customWidth="1"/>
    <col min="10" max="10" width="9.1796875" style="55"/>
    <col min="11" max="11" width="13.81640625" style="55" bestFit="1" customWidth="1"/>
    <col min="12" max="12" width="16.1796875" style="55" bestFit="1" customWidth="1"/>
    <col min="13" max="13" width="6.1796875" style="55" bestFit="1" customWidth="1"/>
    <col min="14" max="14" width="10.54296875" style="55" bestFit="1" customWidth="1"/>
    <col min="15" max="15" width="19.453125" style="55" bestFit="1" customWidth="1"/>
    <col min="16" max="16" width="10.1796875" style="55" bestFit="1" customWidth="1"/>
    <col min="17" max="17" width="9.1796875" style="55"/>
    <col min="18" max="18" width="38.54296875" style="55" bestFit="1" customWidth="1"/>
    <col min="19" max="16384" width="9.1796875" style="55"/>
  </cols>
  <sheetData>
    <row r="1" spans="1:19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</row>
    <row r="2" spans="1:19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19" ht="15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>
      <c r="A4" s="1" t="s">
        <v>1</v>
      </c>
      <c r="B4" s="1"/>
      <c r="C4" s="1" t="s">
        <v>108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>
      <c r="A5" s="1" t="s">
        <v>2</v>
      </c>
      <c r="B5" s="1"/>
      <c r="C5" s="6" t="s">
        <v>109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>
      <c r="A6" s="1" t="s">
        <v>3</v>
      </c>
      <c r="B6" s="1"/>
      <c r="C6" s="1" t="s">
        <v>185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>
      <c r="A7" s="1" t="s">
        <v>4</v>
      </c>
      <c r="B7" s="1"/>
      <c r="C7" s="1" t="s">
        <v>110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7.25" customHeight="1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52" t="s">
        <v>13</v>
      </c>
      <c r="J9" s="153"/>
      <c r="K9" s="153"/>
      <c r="L9" s="153"/>
      <c r="M9" s="153"/>
      <c r="N9" s="154"/>
      <c r="O9" s="150" t="s">
        <v>17</v>
      </c>
      <c r="P9" s="144" t="s">
        <v>21</v>
      </c>
      <c r="Q9" s="144"/>
      <c r="R9" s="144" t="s">
        <v>24</v>
      </c>
      <c r="S9" s="144" t="s">
        <v>25</v>
      </c>
    </row>
    <row r="10" spans="1:19" ht="17.25" customHeight="1">
      <c r="A10" s="144"/>
      <c r="B10" s="2" t="s">
        <v>7</v>
      </c>
      <c r="C10" s="2" t="s">
        <v>8</v>
      </c>
      <c r="D10" s="146"/>
      <c r="E10" s="144"/>
      <c r="F10" s="2" t="s">
        <v>27</v>
      </c>
      <c r="G10" s="2" t="s">
        <v>28</v>
      </c>
      <c r="H10" s="144"/>
      <c r="I10" s="26" t="s">
        <v>14</v>
      </c>
      <c r="J10" s="2" t="s">
        <v>15</v>
      </c>
      <c r="K10" s="2" t="s">
        <v>16</v>
      </c>
      <c r="L10" s="106" t="s">
        <v>687</v>
      </c>
      <c r="M10" s="105" t="s">
        <v>15</v>
      </c>
      <c r="N10" s="105" t="s">
        <v>16</v>
      </c>
      <c r="O10" s="151"/>
      <c r="P10" s="2" t="s">
        <v>22</v>
      </c>
      <c r="Q10" s="2" t="s">
        <v>23</v>
      </c>
      <c r="R10" s="144"/>
      <c r="S10" s="144"/>
    </row>
    <row r="11" spans="1:19" ht="17.25" customHeight="1">
      <c r="A11" s="11">
        <v>1</v>
      </c>
      <c r="B11" s="11">
        <f t="shared" ref="B11:K11" si="0">A11+1</f>
        <v>2</v>
      </c>
      <c r="C11" s="11">
        <f t="shared" si="0"/>
        <v>3</v>
      </c>
      <c r="D11" s="11">
        <f t="shared" si="0"/>
        <v>4</v>
      </c>
      <c r="E11" s="11">
        <f t="shared" si="0"/>
        <v>5</v>
      </c>
      <c r="F11" s="11">
        <f t="shared" si="0"/>
        <v>6</v>
      </c>
      <c r="G11" s="11">
        <f t="shared" si="0"/>
        <v>7</v>
      </c>
      <c r="H11" s="11">
        <f t="shared" si="0"/>
        <v>8</v>
      </c>
      <c r="I11" s="11">
        <f t="shared" si="0"/>
        <v>9</v>
      </c>
      <c r="J11" s="11">
        <f t="shared" si="0"/>
        <v>10</v>
      </c>
      <c r="K11" s="11">
        <f t="shared" si="0"/>
        <v>11</v>
      </c>
      <c r="L11" s="107">
        <f t="shared" ref="L11" si="1">K11+1</f>
        <v>12</v>
      </c>
      <c r="M11" s="107">
        <f t="shared" ref="M11" si="2">L11+1</f>
        <v>13</v>
      </c>
      <c r="N11" s="107">
        <f t="shared" ref="N11" si="3">M11+1</f>
        <v>14</v>
      </c>
      <c r="O11" s="107">
        <f t="shared" ref="O11" si="4">N11+1</f>
        <v>15</v>
      </c>
      <c r="P11" s="107">
        <f t="shared" ref="P11" si="5">O11+1</f>
        <v>16</v>
      </c>
      <c r="Q11" s="107">
        <f t="shared" ref="Q11" si="6">P11+1</f>
        <v>17</v>
      </c>
      <c r="R11" s="107">
        <f t="shared" ref="R11" si="7">Q11+1</f>
        <v>18</v>
      </c>
      <c r="S11" s="107">
        <f t="shared" ref="S11" si="8">R11+1</f>
        <v>19</v>
      </c>
    </row>
    <row r="12" spans="1:19" ht="17.25" customHeight="1">
      <c r="A12" s="64">
        <v>1</v>
      </c>
      <c r="B12" s="14" t="s">
        <v>529</v>
      </c>
      <c r="C12" s="3">
        <v>3163615184</v>
      </c>
      <c r="D12" s="56" t="s">
        <v>377</v>
      </c>
      <c r="E12" s="36" t="s">
        <v>30</v>
      </c>
      <c r="F12" s="46" t="s">
        <v>37</v>
      </c>
      <c r="G12" s="104" t="s">
        <v>793</v>
      </c>
      <c r="H12" s="2" t="s">
        <v>29</v>
      </c>
      <c r="I12" s="46" t="s">
        <v>395</v>
      </c>
      <c r="J12" s="2" t="s">
        <v>38</v>
      </c>
      <c r="K12" s="2" t="s">
        <v>42</v>
      </c>
      <c r="L12" s="105" t="s">
        <v>725</v>
      </c>
      <c r="M12" s="105"/>
      <c r="N12" s="105" t="s">
        <v>656</v>
      </c>
      <c r="O12" s="2" t="s">
        <v>76</v>
      </c>
      <c r="P12" s="10" t="s">
        <v>376</v>
      </c>
      <c r="Q12" s="64">
        <v>2023</v>
      </c>
      <c r="R12" s="57" t="s">
        <v>79</v>
      </c>
      <c r="S12" s="2"/>
    </row>
    <row r="13" spans="1:19" ht="17.25" customHeight="1">
      <c r="A13" s="116">
        <v>2</v>
      </c>
      <c r="B13" s="14" t="s">
        <v>530</v>
      </c>
      <c r="C13" s="3">
        <v>3171346016</v>
      </c>
      <c r="D13" s="56" t="s">
        <v>378</v>
      </c>
      <c r="E13" s="36" t="s">
        <v>30</v>
      </c>
      <c r="F13" s="46" t="s">
        <v>248</v>
      </c>
      <c r="G13" s="104" t="s">
        <v>804</v>
      </c>
      <c r="H13" s="2" t="s">
        <v>29</v>
      </c>
      <c r="I13" s="46" t="s">
        <v>387</v>
      </c>
      <c r="J13" s="2" t="s">
        <v>43</v>
      </c>
      <c r="K13" s="2" t="s">
        <v>42</v>
      </c>
      <c r="L13" s="105" t="s">
        <v>730</v>
      </c>
      <c r="M13" s="105"/>
      <c r="N13" s="105" t="s">
        <v>656</v>
      </c>
      <c r="O13" s="2" t="s">
        <v>76</v>
      </c>
      <c r="P13" s="10" t="s">
        <v>376</v>
      </c>
      <c r="Q13" s="64">
        <v>2023</v>
      </c>
      <c r="R13" s="57" t="s">
        <v>388</v>
      </c>
      <c r="S13" s="2"/>
    </row>
    <row r="14" spans="1:19" ht="17.25" customHeight="1">
      <c r="A14" s="139">
        <v>3</v>
      </c>
      <c r="B14" s="14" t="s">
        <v>531</v>
      </c>
      <c r="C14" s="3">
        <v>3175210336</v>
      </c>
      <c r="D14" s="56" t="s">
        <v>397</v>
      </c>
      <c r="E14" s="36" t="s">
        <v>26</v>
      </c>
      <c r="F14" s="46" t="s">
        <v>37</v>
      </c>
      <c r="G14" s="104" t="s">
        <v>806</v>
      </c>
      <c r="H14" s="2" t="s">
        <v>29</v>
      </c>
      <c r="I14" s="46" t="s">
        <v>386</v>
      </c>
      <c r="J14" s="2" t="s">
        <v>38</v>
      </c>
      <c r="K14" s="2" t="s">
        <v>385</v>
      </c>
      <c r="L14" s="105" t="s">
        <v>706</v>
      </c>
      <c r="M14" s="105"/>
      <c r="N14" s="105" t="s">
        <v>385</v>
      </c>
      <c r="O14" s="2" t="s">
        <v>76</v>
      </c>
      <c r="P14" s="10" t="s">
        <v>376</v>
      </c>
      <c r="Q14" s="64">
        <v>2023</v>
      </c>
      <c r="R14" s="56" t="s">
        <v>79</v>
      </c>
      <c r="S14" s="2"/>
    </row>
    <row r="15" spans="1:19" ht="17.25" customHeight="1">
      <c r="A15" s="139">
        <v>4</v>
      </c>
      <c r="B15" s="14" t="s">
        <v>532</v>
      </c>
      <c r="C15" s="3">
        <v>3168284916</v>
      </c>
      <c r="D15" s="56" t="s">
        <v>398</v>
      </c>
      <c r="E15" s="36" t="s">
        <v>26</v>
      </c>
      <c r="F15" s="46" t="s">
        <v>37</v>
      </c>
      <c r="G15" s="104" t="s">
        <v>805</v>
      </c>
      <c r="H15" s="2" t="s">
        <v>29</v>
      </c>
      <c r="I15" s="46" t="s">
        <v>399</v>
      </c>
      <c r="J15" s="2" t="s">
        <v>400</v>
      </c>
      <c r="K15" s="2" t="s">
        <v>44</v>
      </c>
      <c r="L15" s="105" t="s">
        <v>723</v>
      </c>
      <c r="M15" s="105"/>
      <c r="N15" s="105" t="s">
        <v>42</v>
      </c>
      <c r="O15" s="2" t="s">
        <v>76</v>
      </c>
      <c r="P15" s="10" t="s">
        <v>376</v>
      </c>
      <c r="Q15" s="64">
        <v>2023</v>
      </c>
      <c r="R15" s="56" t="s">
        <v>79</v>
      </c>
      <c r="S15" s="2"/>
    </row>
    <row r="16" spans="1:19" ht="17.25" customHeight="1">
      <c r="A16" s="139">
        <v>5</v>
      </c>
      <c r="B16" s="14" t="s">
        <v>533</v>
      </c>
      <c r="C16" s="3">
        <v>3164803057</v>
      </c>
      <c r="D16" s="56" t="s">
        <v>379</v>
      </c>
      <c r="E16" s="36" t="s">
        <v>26</v>
      </c>
      <c r="F16" s="46" t="s">
        <v>35</v>
      </c>
      <c r="G16" s="104" t="s">
        <v>802</v>
      </c>
      <c r="H16" s="2" t="s">
        <v>29</v>
      </c>
      <c r="I16" s="46" t="s">
        <v>393</v>
      </c>
      <c r="J16" s="2" t="s">
        <v>40</v>
      </c>
      <c r="K16" s="2" t="s">
        <v>39</v>
      </c>
      <c r="L16" s="105" t="s">
        <v>727</v>
      </c>
      <c r="M16" s="105"/>
      <c r="N16" s="105" t="s">
        <v>656</v>
      </c>
      <c r="O16" s="2" t="s">
        <v>76</v>
      </c>
      <c r="P16" s="10" t="s">
        <v>376</v>
      </c>
      <c r="Q16" s="64">
        <v>2023</v>
      </c>
      <c r="R16" s="56" t="s">
        <v>188</v>
      </c>
      <c r="S16" s="2"/>
    </row>
    <row r="17" spans="1:19" ht="17.25" customHeight="1">
      <c r="A17" s="139">
        <v>6</v>
      </c>
      <c r="B17" s="14" t="s">
        <v>534</v>
      </c>
      <c r="C17" s="3">
        <v>3161460547</v>
      </c>
      <c r="D17" s="59" t="s">
        <v>380</v>
      </c>
      <c r="E17" s="36" t="s">
        <v>26</v>
      </c>
      <c r="F17" s="46" t="s">
        <v>37</v>
      </c>
      <c r="G17" s="104">
        <v>42648</v>
      </c>
      <c r="H17" s="2" t="s">
        <v>29</v>
      </c>
      <c r="I17" s="46" t="s">
        <v>394</v>
      </c>
      <c r="J17" s="2" t="s">
        <v>38</v>
      </c>
      <c r="K17" s="2" t="s">
        <v>42</v>
      </c>
      <c r="L17" s="105" t="s">
        <v>726</v>
      </c>
      <c r="M17" s="105"/>
      <c r="N17" s="105" t="s">
        <v>656</v>
      </c>
      <c r="O17" s="2" t="s">
        <v>76</v>
      </c>
      <c r="P17" s="10" t="s">
        <v>376</v>
      </c>
      <c r="Q17" s="64">
        <v>2023</v>
      </c>
      <c r="R17" s="57" t="s">
        <v>78</v>
      </c>
      <c r="S17" s="2"/>
    </row>
    <row r="18" spans="1:19" ht="17.25" customHeight="1">
      <c r="A18" s="139">
        <v>7</v>
      </c>
      <c r="B18" s="14" t="s">
        <v>535</v>
      </c>
      <c r="C18" s="51">
        <v>3161312872</v>
      </c>
      <c r="D18" s="56" t="s">
        <v>771</v>
      </c>
      <c r="E18" s="36" t="s">
        <v>30</v>
      </c>
      <c r="F18" s="46" t="s">
        <v>335</v>
      </c>
      <c r="G18" s="104">
        <v>42532</v>
      </c>
      <c r="H18" s="2" t="s">
        <v>29</v>
      </c>
      <c r="I18" s="46" t="s">
        <v>396</v>
      </c>
      <c r="J18" s="2" t="s">
        <v>316</v>
      </c>
      <c r="K18" s="2" t="s">
        <v>42</v>
      </c>
      <c r="L18" s="105" t="s">
        <v>724</v>
      </c>
      <c r="M18" s="105"/>
      <c r="N18" s="105" t="s">
        <v>656</v>
      </c>
      <c r="O18" s="2" t="s">
        <v>76</v>
      </c>
      <c r="P18" s="10" t="s">
        <v>376</v>
      </c>
      <c r="Q18" s="64">
        <v>2023</v>
      </c>
      <c r="R18" s="56" t="s">
        <v>78</v>
      </c>
      <c r="S18" s="2"/>
    </row>
    <row r="19" spans="1:19" ht="17.25" customHeight="1">
      <c r="A19" s="139">
        <v>8</v>
      </c>
      <c r="B19" s="14" t="s">
        <v>536</v>
      </c>
      <c r="C19" s="3" t="s">
        <v>508</v>
      </c>
      <c r="D19" s="58" t="s">
        <v>381</v>
      </c>
      <c r="E19" s="36" t="s">
        <v>26</v>
      </c>
      <c r="F19" s="46" t="s">
        <v>37</v>
      </c>
      <c r="G19" s="104" t="s">
        <v>800</v>
      </c>
      <c r="H19" s="2" t="s">
        <v>29</v>
      </c>
      <c r="I19" s="46" t="s">
        <v>391</v>
      </c>
      <c r="J19" s="2" t="s">
        <v>40</v>
      </c>
      <c r="K19" s="2" t="s">
        <v>41</v>
      </c>
      <c r="L19" s="105" t="s">
        <v>729</v>
      </c>
      <c r="M19" s="105"/>
      <c r="N19" s="105" t="s">
        <v>656</v>
      </c>
      <c r="O19" s="2" t="s">
        <v>76</v>
      </c>
      <c r="P19" s="10" t="s">
        <v>376</v>
      </c>
      <c r="Q19" s="64">
        <v>2023</v>
      </c>
      <c r="R19" s="56" t="s">
        <v>79</v>
      </c>
      <c r="S19" s="2"/>
    </row>
    <row r="20" spans="1:19" ht="17.25" customHeight="1">
      <c r="A20" s="139">
        <v>9</v>
      </c>
      <c r="B20" s="14" t="s">
        <v>537</v>
      </c>
      <c r="C20" s="3" t="s">
        <v>509</v>
      </c>
      <c r="D20" s="56" t="s">
        <v>382</v>
      </c>
      <c r="E20" s="36" t="s">
        <v>26</v>
      </c>
      <c r="F20" s="46" t="s">
        <v>35</v>
      </c>
      <c r="G20" s="104" t="s">
        <v>801</v>
      </c>
      <c r="H20" s="2" t="s">
        <v>29</v>
      </c>
      <c r="I20" s="46" t="s">
        <v>143</v>
      </c>
      <c r="J20" s="2" t="s">
        <v>36</v>
      </c>
      <c r="K20" s="2" t="s">
        <v>402</v>
      </c>
      <c r="L20" s="105" t="s">
        <v>722</v>
      </c>
      <c r="M20" s="105"/>
      <c r="N20" s="105" t="s">
        <v>656</v>
      </c>
      <c r="O20" s="2" t="s">
        <v>76</v>
      </c>
      <c r="P20" s="10" t="s">
        <v>376</v>
      </c>
      <c r="Q20" s="64">
        <v>2023</v>
      </c>
      <c r="R20" s="56" t="s">
        <v>78</v>
      </c>
      <c r="S20" s="2"/>
    </row>
    <row r="21" spans="1:19" ht="17.25" customHeight="1">
      <c r="A21" s="139">
        <v>10</v>
      </c>
      <c r="B21" s="14" t="s">
        <v>538</v>
      </c>
      <c r="C21" s="3" t="s">
        <v>510</v>
      </c>
      <c r="D21" s="58" t="s">
        <v>383</v>
      </c>
      <c r="E21" s="36" t="s">
        <v>30</v>
      </c>
      <c r="F21" s="46" t="s">
        <v>37</v>
      </c>
      <c r="G21" s="104">
        <v>42740</v>
      </c>
      <c r="H21" s="2" t="s">
        <v>29</v>
      </c>
      <c r="I21" s="46" t="s">
        <v>392</v>
      </c>
      <c r="J21" s="2" t="s">
        <v>38</v>
      </c>
      <c r="K21" s="2" t="s">
        <v>331</v>
      </c>
      <c r="L21" s="105" t="s">
        <v>728</v>
      </c>
      <c r="M21" s="105"/>
      <c r="N21" s="105" t="s">
        <v>656</v>
      </c>
      <c r="O21" s="2" t="s">
        <v>76</v>
      </c>
      <c r="P21" s="10" t="s">
        <v>376</v>
      </c>
      <c r="Q21" s="64">
        <v>2023</v>
      </c>
      <c r="R21" s="56" t="s">
        <v>78</v>
      </c>
      <c r="S21" s="2"/>
    </row>
    <row r="22" spans="1:19" ht="17.25" customHeight="1">
      <c r="A22" s="139">
        <v>11</v>
      </c>
      <c r="B22" s="14" t="s">
        <v>539</v>
      </c>
      <c r="C22" s="3" t="s">
        <v>511</v>
      </c>
      <c r="D22" s="58" t="s">
        <v>403</v>
      </c>
      <c r="E22" s="36" t="s">
        <v>30</v>
      </c>
      <c r="F22" s="46" t="s">
        <v>37</v>
      </c>
      <c r="G22" s="104">
        <v>42828</v>
      </c>
      <c r="H22" s="2" t="s">
        <v>29</v>
      </c>
      <c r="I22" s="46" t="s">
        <v>148</v>
      </c>
      <c r="J22" s="2" t="s">
        <v>38</v>
      </c>
      <c r="K22" s="2" t="s">
        <v>42</v>
      </c>
      <c r="L22" s="105" t="s">
        <v>711</v>
      </c>
      <c r="M22" s="105"/>
      <c r="N22" s="105" t="s">
        <v>331</v>
      </c>
      <c r="O22" s="2" t="s">
        <v>76</v>
      </c>
      <c r="P22" s="10" t="s">
        <v>376</v>
      </c>
      <c r="Q22" s="64">
        <v>2023</v>
      </c>
      <c r="R22" s="56" t="s">
        <v>149</v>
      </c>
      <c r="S22" s="2"/>
    </row>
    <row r="23" spans="1:19" ht="17.25" customHeight="1">
      <c r="A23" s="139">
        <v>12</v>
      </c>
      <c r="B23" s="14" t="s">
        <v>540</v>
      </c>
      <c r="C23" s="3" t="s">
        <v>512</v>
      </c>
      <c r="D23" s="56" t="s">
        <v>384</v>
      </c>
      <c r="E23" s="36" t="s">
        <v>30</v>
      </c>
      <c r="F23" s="46" t="s">
        <v>37</v>
      </c>
      <c r="G23" s="104">
        <v>42682</v>
      </c>
      <c r="H23" s="2" t="s">
        <v>29</v>
      </c>
      <c r="I23" s="46" t="s">
        <v>389</v>
      </c>
      <c r="J23" s="2" t="s">
        <v>38</v>
      </c>
      <c r="K23" s="2" t="s">
        <v>39</v>
      </c>
      <c r="L23" s="105" t="s">
        <v>697</v>
      </c>
      <c r="M23" s="105"/>
      <c r="N23" s="105" t="s">
        <v>656</v>
      </c>
      <c r="O23" s="2" t="s">
        <v>76</v>
      </c>
      <c r="P23" s="10" t="s">
        <v>376</v>
      </c>
      <c r="Q23" s="64">
        <v>2023</v>
      </c>
      <c r="R23" s="56" t="s">
        <v>390</v>
      </c>
      <c r="S23" s="2"/>
    </row>
    <row r="24" spans="1:19" ht="17.25" customHeight="1">
      <c r="A24" s="139">
        <v>13</v>
      </c>
      <c r="B24" s="14" t="s">
        <v>603</v>
      </c>
      <c r="C24" s="3">
        <v>3179692508</v>
      </c>
      <c r="D24" s="56" t="s">
        <v>604</v>
      </c>
      <c r="E24" s="36" t="s">
        <v>26</v>
      </c>
      <c r="F24" s="46" t="s">
        <v>37</v>
      </c>
      <c r="G24" s="104" t="s">
        <v>803</v>
      </c>
      <c r="H24" s="91" t="s">
        <v>29</v>
      </c>
      <c r="I24" s="46" t="s">
        <v>605</v>
      </c>
      <c r="J24" s="91"/>
      <c r="K24" s="91"/>
      <c r="L24" s="105" t="s">
        <v>721</v>
      </c>
      <c r="M24" s="105"/>
      <c r="N24" s="105" t="s">
        <v>656</v>
      </c>
      <c r="O24" s="93" t="s">
        <v>606</v>
      </c>
      <c r="P24" s="10" t="s">
        <v>517</v>
      </c>
      <c r="Q24" s="91">
        <v>2025</v>
      </c>
      <c r="R24" s="56"/>
      <c r="S24" s="91"/>
    </row>
    <row r="25" spans="1:19" ht="15.5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s="61"/>
      <c r="S25" s="1"/>
    </row>
    <row r="26" spans="1:19" ht="15.5">
      <c r="A26" s="1"/>
      <c r="B26" s="8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9"/>
      <c r="R26" s="61"/>
      <c r="S26" s="1"/>
    </row>
    <row r="27" spans="1:19" ht="15.5">
      <c r="A27" s="1"/>
      <c r="B27" s="7" t="s">
        <v>26</v>
      </c>
      <c r="C27" s="1">
        <v>7</v>
      </c>
      <c r="D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9"/>
      <c r="R27" s="62"/>
      <c r="S27" s="1"/>
    </row>
    <row r="28" spans="1:19" ht="15.5">
      <c r="A28" s="1"/>
      <c r="B28" s="7" t="s">
        <v>31</v>
      </c>
      <c r="C28" s="1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 t="s">
        <v>612</v>
      </c>
      <c r="R28" s="61"/>
      <c r="S28" s="1"/>
    </row>
    <row r="29" spans="1:19" ht="15.5">
      <c r="A29" s="1"/>
      <c r="B29" s="7" t="s">
        <v>32</v>
      </c>
      <c r="C29" s="1">
        <f>C27+C28</f>
        <v>13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370</v>
      </c>
      <c r="Q29" s="9"/>
      <c r="R29" s="62"/>
      <c r="S29" s="1"/>
    </row>
    <row r="30" spans="1:19" ht="15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9"/>
      <c r="R30" s="62"/>
      <c r="S30" s="1"/>
    </row>
    <row r="31" spans="1:19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9"/>
      <c r="R31" s="62"/>
      <c r="S31" s="1"/>
    </row>
    <row r="32" spans="1:19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9"/>
      <c r="R32" s="62"/>
      <c r="S32" s="1"/>
    </row>
    <row r="33" spans="16:18" ht="15.5">
      <c r="P33" s="53" t="s">
        <v>371</v>
      </c>
      <c r="R33" s="62"/>
    </row>
    <row r="34" spans="16:18" ht="15.5">
      <c r="P34" s="1" t="s">
        <v>372</v>
      </c>
      <c r="Q34" s="9"/>
      <c r="R34" s="62"/>
    </row>
  </sheetData>
  <mergeCells count="13">
    <mergeCell ref="S9:S10"/>
    <mergeCell ref="A1:S1"/>
    <mergeCell ref="A2:S2"/>
    <mergeCell ref="A9:A10"/>
    <mergeCell ref="B9:C9"/>
    <mergeCell ref="D9:D10"/>
    <mergeCell ref="E9:E10"/>
    <mergeCell ref="F9:G9"/>
    <mergeCell ref="H9:H10"/>
    <mergeCell ref="O9:O10"/>
    <mergeCell ref="P9:Q9"/>
    <mergeCell ref="R9:R10"/>
    <mergeCell ref="I9:N9"/>
  </mergeCells>
  <conditionalFormatting sqref="B12:B24">
    <cfRule type="duplicateValues" dxfId="60" priority="197" stopIfTrue="1"/>
  </conditionalFormatting>
  <dataValidations count="4">
    <dataValidation type="list" allowBlank="1" showDropDown="1" showInputMessage="1" showErrorMessage="1" error="Gunakan L = Laki-laki, P = Perempuan" prompt="L = Laki-laki_x000a_P = Perempuan" sqref="E12:E24" xr:uid="{00000000-0002-0000-0200-000000000000}">
      <formula1>"L, P,"</formula1>
    </dataValidation>
    <dataValidation allowBlank="1" showInputMessage="1" showErrorMessage="1" prompt="(yyyy-mm-dd)_x000a_1996-05-18" sqref="G12:G24" xr:uid="{00000000-0002-0000-0200-000001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4" xr:uid="{00000000-0002-0000-0200-000002000000}">
      <formula1>"A, B, C, D, E, F, G, H, I, J, K, L,"</formula1>
    </dataValidation>
    <dataValidation allowBlank="1" showInputMessage="1" showErrorMessage="1" prompt="Nomor Induk Siswa" sqref="B12:B24" xr:uid="{00000000-0002-0000-0200-000003000000}"/>
  </dataValidations>
  <pageMargins left="0.39370078740157483" right="0.39370078740157483" top="0.39370078740157483" bottom="0.39370078740157483" header="0" footer="0"/>
  <pageSetup paperSize="20000" scale="59" orientation="landscape" horizontalDpi="0" verticalDpi="0" r:id="rId1"/>
  <ignoredErrors>
    <ignoredError sqref="C23 C13 C14 C15 C16 C17 C18 C19 C20 C21 C22 B12:B13 P12:P13 B14:B16 P14:P16 B17:B24 P17:P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7"/>
  <sheetViews>
    <sheetView topLeftCell="A15" zoomScale="98" zoomScaleNormal="98" workbookViewId="0">
      <selection activeCell="E34" sqref="E34"/>
    </sheetView>
  </sheetViews>
  <sheetFormatPr defaultRowHeight="12.5"/>
  <cols>
    <col min="1" max="1" width="5.453125" customWidth="1"/>
    <col min="3" max="3" width="14" customWidth="1"/>
    <col min="4" max="4" width="33.1796875" customWidth="1"/>
    <col min="5" max="5" width="6.7265625" customWidth="1"/>
    <col min="6" max="6" width="13.453125" customWidth="1"/>
    <col min="7" max="7" width="12.7265625" style="134" bestFit="1" customWidth="1"/>
    <col min="9" max="9" width="16.7265625" bestFit="1" customWidth="1"/>
    <col min="11" max="11" width="10.7265625" customWidth="1"/>
    <col min="12" max="12" width="16.81640625" bestFit="1" customWidth="1"/>
    <col min="13" max="14" width="10.7265625" customWidth="1"/>
    <col min="15" max="15" width="15.453125" customWidth="1"/>
    <col min="16" max="16" width="10.54296875" bestFit="1" customWidth="1"/>
    <col min="18" max="18" width="37.26953125" customWidth="1"/>
  </cols>
  <sheetData>
    <row r="1" spans="1:19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</row>
    <row r="2" spans="1:19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19" ht="15.5">
      <c r="A3" s="1"/>
      <c r="B3" s="1"/>
      <c r="C3" s="1"/>
      <c r="D3" s="1"/>
      <c r="E3" s="1"/>
      <c r="F3" s="1"/>
      <c r="G3" s="8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>
      <c r="A4" s="1" t="s">
        <v>1</v>
      </c>
      <c r="B4" s="1"/>
      <c r="C4" s="1" t="s">
        <v>108</v>
      </c>
      <c r="D4" s="1"/>
      <c r="E4" s="1"/>
      <c r="F4" s="1"/>
      <c r="G4" s="8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>
      <c r="A5" s="1" t="s">
        <v>2</v>
      </c>
      <c r="B5" s="1"/>
      <c r="C5" s="6" t="s">
        <v>109</v>
      </c>
      <c r="D5" s="6"/>
      <c r="E5" s="1"/>
      <c r="F5" s="1"/>
      <c r="G5" s="8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>
      <c r="A6" s="1" t="s">
        <v>3</v>
      </c>
      <c r="B6" s="1"/>
      <c r="C6" s="1" t="s">
        <v>187</v>
      </c>
      <c r="D6" s="1"/>
      <c r="E6" s="1"/>
      <c r="F6" s="1"/>
      <c r="G6" s="8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>
      <c r="A7" s="1" t="s">
        <v>4</v>
      </c>
      <c r="B7" s="1"/>
      <c r="C7" s="1" t="s">
        <v>110</v>
      </c>
      <c r="D7" s="1"/>
      <c r="E7" s="1"/>
      <c r="F7" s="1"/>
      <c r="G7" s="8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>
      <c r="A8" s="1"/>
      <c r="B8" s="1"/>
      <c r="C8" s="1"/>
      <c r="D8" s="1"/>
      <c r="E8" s="1"/>
      <c r="F8" s="1"/>
      <c r="G8" s="8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5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52" t="s">
        <v>13</v>
      </c>
      <c r="J9" s="153"/>
      <c r="K9" s="153"/>
      <c r="L9" s="153"/>
      <c r="M9" s="153"/>
      <c r="N9" s="154"/>
      <c r="O9" s="150" t="s">
        <v>17</v>
      </c>
      <c r="P9" s="144" t="s">
        <v>21</v>
      </c>
      <c r="Q9" s="144"/>
      <c r="R9" s="144" t="s">
        <v>24</v>
      </c>
      <c r="S9" s="144" t="s">
        <v>25</v>
      </c>
    </row>
    <row r="10" spans="1:19" ht="15.5">
      <c r="A10" s="144"/>
      <c r="B10" s="64" t="s">
        <v>7</v>
      </c>
      <c r="C10" s="64" t="s">
        <v>8</v>
      </c>
      <c r="D10" s="146"/>
      <c r="E10" s="144"/>
      <c r="F10" s="64" t="s">
        <v>27</v>
      </c>
      <c r="G10" s="124" t="s">
        <v>28</v>
      </c>
      <c r="H10" s="144"/>
      <c r="I10" s="67" t="s">
        <v>14</v>
      </c>
      <c r="J10" s="64" t="s">
        <v>15</v>
      </c>
      <c r="K10" s="64" t="s">
        <v>16</v>
      </c>
      <c r="L10" s="106" t="s">
        <v>687</v>
      </c>
      <c r="M10" s="105" t="s">
        <v>15</v>
      </c>
      <c r="N10" s="105" t="s">
        <v>16</v>
      </c>
      <c r="O10" s="151"/>
      <c r="P10" s="64" t="s">
        <v>22</v>
      </c>
      <c r="Q10" s="64" t="s">
        <v>23</v>
      </c>
      <c r="R10" s="144"/>
      <c r="S10" s="144"/>
    </row>
    <row r="11" spans="1:19" ht="15.5">
      <c r="A11" s="65">
        <v>1</v>
      </c>
      <c r="B11" s="65">
        <f t="shared" ref="B11:K11" si="0">A11+1</f>
        <v>2</v>
      </c>
      <c r="C11" s="65">
        <f t="shared" si="0"/>
        <v>3</v>
      </c>
      <c r="D11" s="65">
        <f t="shared" si="0"/>
        <v>4</v>
      </c>
      <c r="E11" s="65">
        <f t="shared" si="0"/>
        <v>5</v>
      </c>
      <c r="F11" s="65">
        <f t="shared" si="0"/>
        <v>6</v>
      </c>
      <c r="G11" s="125">
        <f t="shared" si="0"/>
        <v>7</v>
      </c>
      <c r="H11" s="65">
        <f t="shared" si="0"/>
        <v>8</v>
      </c>
      <c r="I11" s="65">
        <f t="shared" si="0"/>
        <v>9</v>
      </c>
      <c r="J11" s="65">
        <f t="shared" si="0"/>
        <v>10</v>
      </c>
      <c r="K11" s="65">
        <f t="shared" si="0"/>
        <v>11</v>
      </c>
      <c r="L11" s="107">
        <f t="shared" ref="L11" si="1">K11+1</f>
        <v>12</v>
      </c>
      <c r="M11" s="107">
        <f t="shared" ref="M11" si="2">L11+1</f>
        <v>13</v>
      </c>
      <c r="N11" s="107">
        <f t="shared" ref="N11" si="3">M11+1</f>
        <v>14</v>
      </c>
      <c r="O11" s="107">
        <f t="shared" ref="O11" si="4">N11+1</f>
        <v>15</v>
      </c>
      <c r="P11" s="107">
        <f t="shared" ref="P11" si="5">O11+1</f>
        <v>16</v>
      </c>
      <c r="Q11" s="107">
        <f t="shared" ref="Q11" si="6">P11+1</f>
        <v>17</v>
      </c>
      <c r="R11" s="107">
        <f t="shared" ref="R11" si="7">Q11+1</f>
        <v>18</v>
      </c>
      <c r="S11" s="107">
        <f t="shared" ref="S11" si="8">R11+1</f>
        <v>19</v>
      </c>
    </row>
    <row r="12" spans="1:19" ht="15.5">
      <c r="A12" s="64">
        <v>1</v>
      </c>
      <c r="B12" s="14" t="s">
        <v>543</v>
      </c>
      <c r="C12" s="3" t="s">
        <v>498</v>
      </c>
      <c r="D12" s="45" t="s">
        <v>357</v>
      </c>
      <c r="E12" s="36" t="s">
        <v>26</v>
      </c>
      <c r="F12" s="46" t="s">
        <v>37</v>
      </c>
      <c r="G12" s="104" t="s">
        <v>798</v>
      </c>
      <c r="H12" s="64" t="s">
        <v>29</v>
      </c>
      <c r="I12" s="46" t="s">
        <v>358</v>
      </c>
      <c r="J12" s="64" t="s">
        <v>38</v>
      </c>
      <c r="K12" s="64" t="s">
        <v>42</v>
      </c>
      <c r="L12" s="105" t="s">
        <v>691</v>
      </c>
      <c r="M12" s="105"/>
      <c r="N12" s="105" t="s">
        <v>656</v>
      </c>
      <c r="O12" s="64" t="s">
        <v>76</v>
      </c>
      <c r="P12" s="10" t="s">
        <v>376</v>
      </c>
      <c r="Q12" s="64">
        <v>2022</v>
      </c>
      <c r="R12" s="56" t="s">
        <v>245</v>
      </c>
      <c r="S12" s="64"/>
    </row>
    <row r="13" spans="1:19" ht="15.5">
      <c r="A13" s="94">
        <v>2</v>
      </c>
      <c r="B13" s="14" t="s">
        <v>544</v>
      </c>
      <c r="C13" s="3" t="s">
        <v>499</v>
      </c>
      <c r="D13" s="45" t="s">
        <v>301</v>
      </c>
      <c r="E13" s="36" t="s">
        <v>30</v>
      </c>
      <c r="F13" s="46" t="s">
        <v>35</v>
      </c>
      <c r="G13" s="104" t="s">
        <v>795</v>
      </c>
      <c r="H13" s="64" t="s">
        <v>29</v>
      </c>
      <c r="I13" s="46" t="s">
        <v>318</v>
      </c>
      <c r="J13" s="64" t="s">
        <v>38</v>
      </c>
      <c r="K13" s="64" t="s">
        <v>42</v>
      </c>
      <c r="L13" s="105" t="s">
        <v>738</v>
      </c>
      <c r="M13" s="105"/>
      <c r="N13" s="105" t="s">
        <v>656</v>
      </c>
      <c r="O13" s="64" t="s">
        <v>76</v>
      </c>
      <c r="P13" s="10" t="s">
        <v>376</v>
      </c>
      <c r="Q13" s="64">
        <v>2022</v>
      </c>
      <c r="R13" s="57" t="s">
        <v>241</v>
      </c>
      <c r="S13" s="64"/>
    </row>
    <row r="14" spans="1:19" ht="15.5">
      <c r="A14" s="94">
        <v>3</v>
      </c>
      <c r="B14" s="14" t="s">
        <v>545</v>
      </c>
      <c r="C14" s="3" t="s">
        <v>500</v>
      </c>
      <c r="D14" s="45" t="s">
        <v>302</v>
      </c>
      <c r="E14" s="36" t="s">
        <v>30</v>
      </c>
      <c r="F14" s="46" t="s">
        <v>37</v>
      </c>
      <c r="G14" s="104" t="s">
        <v>792</v>
      </c>
      <c r="H14" s="64" t="s">
        <v>29</v>
      </c>
      <c r="I14" s="46" t="s">
        <v>319</v>
      </c>
      <c r="J14" s="64" t="s">
        <v>38</v>
      </c>
      <c r="K14" s="64" t="s">
        <v>42</v>
      </c>
      <c r="L14" s="105" t="s">
        <v>744</v>
      </c>
      <c r="M14" s="105"/>
      <c r="N14" s="105" t="s">
        <v>656</v>
      </c>
      <c r="O14" s="64" t="s">
        <v>76</v>
      </c>
      <c r="P14" s="10" t="s">
        <v>376</v>
      </c>
      <c r="Q14" s="64">
        <v>2022</v>
      </c>
      <c r="R14" s="57" t="s">
        <v>338</v>
      </c>
      <c r="S14" s="64"/>
    </row>
    <row r="15" spans="1:19" ht="15.5">
      <c r="A15" s="94">
        <v>4</v>
      </c>
      <c r="B15" s="14" t="s">
        <v>546</v>
      </c>
      <c r="C15" s="3" t="s">
        <v>501</v>
      </c>
      <c r="D15" s="45" t="s">
        <v>303</v>
      </c>
      <c r="E15" s="36" t="s">
        <v>30</v>
      </c>
      <c r="F15" s="46" t="s">
        <v>37</v>
      </c>
      <c r="G15" s="104" t="s">
        <v>799</v>
      </c>
      <c r="H15" s="64" t="s">
        <v>29</v>
      </c>
      <c r="I15" s="46" t="s">
        <v>320</v>
      </c>
      <c r="J15" s="64" t="s">
        <v>43</v>
      </c>
      <c r="K15" s="64" t="s">
        <v>42</v>
      </c>
      <c r="L15" s="105" t="s">
        <v>734</v>
      </c>
      <c r="M15" s="105"/>
      <c r="N15" s="105" t="s">
        <v>656</v>
      </c>
      <c r="O15" s="64" t="s">
        <v>76</v>
      </c>
      <c r="P15" s="10" t="s">
        <v>376</v>
      </c>
      <c r="Q15" s="64">
        <v>2022</v>
      </c>
      <c r="R15" s="56" t="s">
        <v>346</v>
      </c>
      <c r="S15" s="64"/>
    </row>
    <row r="16" spans="1:19" ht="15.5">
      <c r="A16" s="94">
        <v>5</v>
      </c>
      <c r="B16" s="14" t="s">
        <v>547</v>
      </c>
      <c r="C16" s="51" t="s">
        <v>502</v>
      </c>
      <c r="D16" s="45" t="s">
        <v>304</v>
      </c>
      <c r="E16" s="36" t="s">
        <v>26</v>
      </c>
      <c r="F16" s="46" t="s">
        <v>334</v>
      </c>
      <c r="G16" s="104" t="s">
        <v>794</v>
      </c>
      <c r="H16" s="64" t="s">
        <v>29</v>
      </c>
      <c r="I16" s="46" t="s">
        <v>321</v>
      </c>
      <c r="J16" s="64" t="s">
        <v>36</v>
      </c>
      <c r="K16" s="64" t="s">
        <v>42</v>
      </c>
      <c r="L16" s="105" t="s">
        <v>740</v>
      </c>
      <c r="M16" s="105"/>
      <c r="N16" s="105" t="s">
        <v>656</v>
      </c>
      <c r="O16" s="64" t="s">
        <v>76</v>
      </c>
      <c r="P16" s="10" t="s">
        <v>376</v>
      </c>
      <c r="Q16" s="64">
        <v>2022</v>
      </c>
      <c r="R16" s="56" t="s">
        <v>342</v>
      </c>
      <c r="S16" s="64"/>
    </row>
    <row r="17" spans="1:19" ht="15.5">
      <c r="A17" s="94">
        <v>6</v>
      </c>
      <c r="B17" s="14" t="s">
        <v>548</v>
      </c>
      <c r="C17" s="3" t="s">
        <v>503</v>
      </c>
      <c r="D17" s="45" t="s">
        <v>305</v>
      </c>
      <c r="E17" s="36" t="s">
        <v>26</v>
      </c>
      <c r="F17" s="46" t="s">
        <v>333</v>
      </c>
      <c r="G17" s="104" t="s">
        <v>790</v>
      </c>
      <c r="H17" s="64" t="s">
        <v>29</v>
      </c>
      <c r="I17" s="46" t="s">
        <v>322</v>
      </c>
      <c r="J17" s="64" t="s">
        <v>314</v>
      </c>
      <c r="K17" s="64" t="s">
        <v>44</v>
      </c>
      <c r="L17" s="105" t="s">
        <v>742</v>
      </c>
      <c r="M17" s="105"/>
      <c r="N17" s="105" t="s">
        <v>656</v>
      </c>
      <c r="O17" s="64" t="s">
        <v>76</v>
      </c>
      <c r="P17" s="10" t="s">
        <v>376</v>
      </c>
      <c r="Q17" s="64">
        <v>2022</v>
      </c>
      <c r="R17" s="56" t="s">
        <v>343</v>
      </c>
      <c r="S17" s="64"/>
    </row>
    <row r="18" spans="1:19" ht="15.5">
      <c r="A18" s="94">
        <v>7</v>
      </c>
      <c r="B18" s="14" t="s">
        <v>549</v>
      </c>
      <c r="C18" s="51" t="s">
        <v>504</v>
      </c>
      <c r="D18" s="45" t="s">
        <v>306</v>
      </c>
      <c r="E18" s="36" t="s">
        <v>30</v>
      </c>
      <c r="F18" s="46" t="s">
        <v>37</v>
      </c>
      <c r="G18" s="104" t="s">
        <v>796</v>
      </c>
      <c r="H18" s="64" t="s">
        <v>29</v>
      </c>
      <c r="I18" s="46" t="s">
        <v>323</v>
      </c>
      <c r="J18" s="64" t="s">
        <v>38</v>
      </c>
      <c r="K18" s="64" t="s">
        <v>331</v>
      </c>
      <c r="L18" s="105" t="s">
        <v>735</v>
      </c>
      <c r="M18" s="105"/>
      <c r="N18" s="105" t="s">
        <v>656</v>
      </c>
      <c r="O18" s="64" t="s">
        <v>76</v>
      </c>
      <c r="P18" s="10" t="s">
        <v>376</v>
      </c>
      <c r="Q18" s="64">
        <v>2022</v>
      </c>
      <c r="R18" s="56" t="s">
        <v>344</v>
      </c>
      <c r="S18" s="64"/>
    </row>
    <row r="19" spans="1:19" ht="15.5">
      <c r="A19" s="94">
        <v>8</v>
      </c>
      <c r="B19" s="14" t="s">
        <v>550</v>
      </c>
      <c r="C19" s="3" t="s">
        <v>505</v>
      </c>
      <c r="D19" s="45" t="s">
        <v>307</v>
      </c>
      <c r="E19" s="36" t="s">
        <v>30</v>
      </c>
      <c r="F19" s="46" t="s">
        <v>335</v>
      </c>
      <c r="G19" s="104">
        <v>42621</v>
      </c>
      <c r="H19" s="64" t="s">
        <v>29</v>
      </c>
      <c r="I19" s="46" t="s">
        <v>324</v>
      </c>
      <c r="J19" s="64" t="s">
        <v>315</v>
      </c>
      <c r="K19" s="64" t="s">
        <v>39</v>
      </c>
      <c r="L19" s="105" t="s">
        <v>732</v>
      </c>
      <c r="M19" s="105"/>
      <c r="N19" s="105" t="s">
        <v>656</v>
      </c>
      <c r="O19" s="64" t="s">
        <v>76</v>
      </c>
      <c r="P19" s="10" t="s">
        <v>376</v>
      </c>
      <c r="Q19" s="64">
        <v>2022</v>
      </c>
      <c r="R19" s="56" t="s">
        <v>341</v>
      </c>
      <c r="S19" s="64"/>
    </row>
    <row r="20" spans="1:19" ht="15.5">
      <c r="A20" s="94">
        <v>9</v>
      </c>
      <c r="B20" s="14" t="s">
        <v>551</v>
      </c>
      <c r="C20" s="3" t="s">
        <v>506</v>
      </c>
      <c r="D20" s="45" t="s">
        <v>308</v>
      </c>
      <c r="E20" s="36" t="s">
        <v>26</v>
      </c>
      <c r="F20" s="46" t="s">
        <v>37</v>
      </c>
      <c r="G20" s="104" t="s">
        <v>789</v>
      </c>
      <c r="H20" s="64" t="s">
        <v>29</v>
      </c>
      <c r="I20" s="46" t="s">
        <v>325</v>
      </c>
      <c r="J20" s="64" t="s">
        <v>38</v>
      </c>
      <c r="K20" s="64" t="s">
        <v>42</v>
      </c>
      <c r="L20" s="105" t="s">
        <v>743</v>
      </c>
      <c r="M20" s="105"/>
      <c r="N20" s="105" t="s">
        <v>656</v>
      </c>
      <c r="O20" s="64" t="s">
        <v>76</v>
      </c>
      <c r="P20" s="10" t="s">
        <v>376</v>
      </c>
      <c r="Q20" s="64">
        <v>2022</v>
      </c>
      <c r="R20" s="57" t="s">
        <v>337</v>
      </c>
      <c r="S20" s="64"/>
    </row>
    <row r="21" spans="1:19" ht="15.5">
      <c r="A21" s="94">
        <v>10</v>
      </c>
      <c r="B21" s="14" t="s">
        <v>552</v>
      </c>
      <c r="C21" s="3" t="s">
        <v>489</v>
      </c>
      <c r="D21" s="46" t="s">
        <v>309</v>
      </c>
      <c r="E21" s="36" t="s">
        <v>26</v>
      </c>
      <c r="F21" s="46" t="s">
        <v>37</v>
      </c>
      <c r="G21" s="104">
        <v>42434</v>
      </c>
      <c r="H21" s="64" t="s">
        <v>29</v>
      </c>
      <c r="I21" s="46" t="s">
        <v>326</v>
      </c>
      <c r="J21" s="64" t="s">
        <v>43</v>
      </c>
      <c r="K21" s="64" t="s">
        <v>42</v>
      </c>
      <c r="L21" s="105" t="s">
        <v>733</v>
      </c>
      <c r="M21" s="105"/>
      <c r="N21" s="105" t="s">
        <v>656</v>
      </c>
      <c r="O21" s="64" t="s">
        <v>76</v>
      </c>
      <c r="P21" s="10" t="s">
        <v>376</v>
      </c>
      <c r="Q21" s="64">
        <v>2022</v>
      </c>
      <c r="R21" s="56" t="s">
        <v>339</v>
      </c>
      <c r="S21" s="64"/>
    </row>
    <row r="22" spans="1:19" ht="15.5">
      <c r="A22" s="94">
        <v>11</v>
      </c>
      <c r="B22" s="14" t="s">
        <v>553</v>
      </c>
      <c r="C22" s="3" t="s">
        <v>490</v>
      </c>
      <c r="D22" s="45" t="s">
        <v>310</v>
      </c>
      <c r="E22" s="36" t="s">
        <v>26</v>
      </c>
      <c r="F22" s="46" t="s">
        <v>35</v>
      </c>
      <c r="G22" s="104">
        <v>42592</v>
      </c>
      <c r="H22" s="64" t="s">
        <v>29</v>
      </c>
      <c r="I22" s="46" t="s">
        <v>327</v>
      </c>
      <c r="J22" s="64" t="s">
        <v>40</v>
      </c>
      <c r="K22" s="64" t="s">
        <v>42</v>
      </c>
      <c r="L22" s="105" t="s">
        <v>736</v>
      </c>
      <c r="M22" s="105"/>
      <c r="N22" s="105" t="s">
        <v>656</v>
      </c>
      <c r="O22" s="64" t="s">
        <v>76</v>
      </c>
      <c r="P22" s="10" t="s">
        <v>376</v>
      </c>
      <c r="Q22" s="64">
        <v>2022</v>
      </c>
      <c r="R22" s="56" t="s">
        <v>347</v>
      </c>
      <c r="S22" s="64"/>
    </row>
    <row r="23" spans="1:19" ht="15.5">
      <c r="A23" s="94">
        <v>12</v>
      </c>
      <c r="B23" s="14" t="s">
        <v>554</v>
      </c>
      <c r="C23" s="3" t="s">
        <v>491</v>
      </c>
      <c r="D23" s="45" t="s">
        <v>311</v>
      </c>
      <c r="E23" s="36" t="s">
        <v>30</v>
      </c>
      <c r="F23" s="46" t="s">
        <v>37</v>
      </c>
      <c r="G23" s="104" t="s">
        <v>791</v>
      </c>
      <c r="H23" s="64" t="s">
        <v>29</v>
      </c>
      <c r="I23" s="46" t="s">
        <v>328</v>
      </c>
      <c r="J23" s="64" t="s">
        <v>38</v>
      </c>
      <c r="K23" s="64" t="s">
        <v>42</v>
      </c>
      <c r="L23" s="105" t="s">
        <v>741</v>
      </c>
      <c r="M23" s="105"/>
      <c r="N23" s="105" t="s">
        <v>656</v>
      </c>
      <c r="O23" s="64" t="s">
        <v>76</v>
      </c>
      <c r="P23" s="10" t="s">
        <v>376</v>
      </c>
      <c r="Q23" s="64">
        <v>2022</v>
      </c>
      <c r="R23" s="56" t="s">
        <v>340</v>
      </c>
      <c r="S23" s="64"/>
    </row>
    <row r="24" spans="1:19" ht="15.5">
      <c r="A24" s="94">
        <v>13</v>
      </c>
      <c r="B24" s="14" t="s">
        <v>555</v>
      </c>
      <c r="C24" s="3" t="s">
        <v>492</v>
      </c>
      <c r="D24" s="45" t="s">
        <v>312</v>
      </c>
      <c r="E24" s="36" t="s">
        <v>30</v>
      </c>
      <c r="F24" s="46" t="s">
        <v>37</v>
      </c>
      <c r="G24" s="104">
        <v>42585</v>
      </c>
      <c r="H24" s="64" t="s">
        <v>29</v>
      </c>
      <c r="I24" s="46" t="s">
        <v>329</v>
      </c>
      <c r="J24" s="64" t="s">
        <v>38</v>
      </c>
      <c r="K24" s="64" t="s">
        <v>332</v>
      </c>
      <c r="L24" s="105" t="s">
        <v>737</v>
      </c>
      <c r="M24" s="105"/>
      <c r="N24" s="105" t="s">
        <v>656</v>
      </c>
      <c r="O24" s="64" t="s">
        <v>76</v>
      </c>
      <c r="P24" s="10" t="s">
        <v>376</v>
      </c>
      <c r="Q24" s="64">
        <v>2022</v>
      </c>
      <c r="R24" s="56" t="s">
        <v>345</v>
      </c>
      <c r="S24" s="64"/>
    </row>
    <row r="25" spans="1:19" ht="15.5">
      <c r="A25" s="94">
        <v>14</v>
      </c>
      <c r="B25" s="14" t="s">
        <v>556</v>
      </c>
      <c r="C25" s="3" t="s">
        <v>493</v>
      </c>
      <c r="D25" s="46" t="s">
        <v>494</v>
      </c>
      <c r="E25" s="36" t="s">
        <v>26</v>
      </c>
      <c r="F25" s="46" t="s">
        <v>37</v>
      </c>
      <c r="G25" s="104" t="s">
        <v>797</v>
      </c>
      <c r="H25" s="64" t="s">
        <v>29</v>
      </c>
      <c r="I25" s="46" t="s">
        <v>336</v>
      </c>
      <c r="J25" s="64" t="s">
        <v>317</v>
      </c>
      <c r="K25" s="64" t="s">
        <v>42</v>
      </c>
      <c r="L25" s="105" t="s">
        <v>705</v>
      </c>
      <c r="M25" s="105"/>
      <c r="N25" s="105" t="s">
        <v>656</v>
      </c>
      <c r="O25" s="64" t="s">
        <v>76</v>
      </c>
      <c r="P25" s="10" t="s">
        <v>376</v>
      </c>
      <c r="Q25" s="64">
        <v>2022</v>
      </c>
      <c r="R25" s="60" t="s">
        <v>359</v>
      </c>
      <c r="S25" s="64"/>
    </row>
    <row r="26" spans="1:19" ht="15.5">
      <c r="A26" s="94">
        <v>15</v>
      </c>
      <c r="B26" s="14" t="s">
        <v>557</v>
      </c>
      <c r="C26" s="3" t="s">
        <v>495</v>
      </c>
      <c r="D26" s="45" t="s">
        <v>313</v>
      </c>
      <c r="E26" s="36" t="s">
        <v>26</v>
      </c>
      <c r="F26" s="46" t="s">
        <v>35</v>
      </c>
      <c r="G26" s="104">
        <v>42251</v>
      </c>
      <c r="H26" s="64" t="s">
        <v>29</v>
      </c>
      <c r="I26" s="46" t="s">
        <v>330</v>
      </c>
      <c r="J26" s="64" t="s">
        <v>38</v>
      </c>
      <c r="K26" s="64" t="s">
        <v>42</v>
      </c>
      <c r="L26" s="105" t="s">
        <v>739</v>
      </c>
      <c r="M26" s="105"/>
      <c r="N26" s="105" t="s">
        <v>656</v>
      </c>
      <c r="O26" s="64" t="s">
        <v>76</v>
      </c>
      <c r="P26" s="10" t="s">
        <v>376</v>
      </c>
      <c r="Q26" s="64">
        <v>2022</v>
      </c>
      <c r="R26" s="56" t="s">
        <v>80</v>
      </c>
      <c r="S26" s="64"/>
    </row>
    <row r="27" spans="1:19" ht="15.5">
      <c r="A27" s="94">
        <v>16</v>
      </c>
      <c r="B27" s="14" t="s">
        <v>558</v>
      </c>
      <c r="C27" s="3" t="s">
        <v>496</v>
      </c>
      <c r="D27" s="45" t="s">
        <v>497</v>
      </c>
      <c r="E27" s="36" t="s">
        <v>26</v>
      </c>
      <c r="F27" s="46" t="s">
        <v>35</v>
      </c>
      <c r="G27" s="104" t="s">
        <v>793</v>
      </c>
      <c r="H27" s="64" t="s">
        <v>29</v>
      </c>
      <c r="I27" s="46" t="s">
        <v>158</v>
      </c>
      <c r="J27" s="64" t="s">
        <v>36</v>
      </c>
      <c r="K27" s="64" t="s">
        <v>42</v>
      </c>
      <c r="L27" s="105" t="s">
        <v>731</v>
      </c>
      <c r="M27" s="105"/>
      <c r="N27" s="105" t="s">
        <v>656</v>
      </c>
      <c r="O27" s="64" t="s">
        <v>76</v>
      </c>
      <c r="P27" s="10" t="s">
        <v>376</v>
      </c>
      <c r="Q27" s="64">
        <v>2022</v>
      </c>
      <c r="R27" s="56" t="s">
        <v>360</v>
      </c>
      <c r="S27" s="64"/>
    </row>
    <row r="28" spans="1:19" ht="15.5">
      <c r="A28" s="1"/>
      <c r="B28" s="7"/>
      <c r="C28" s="1"/>
      <c r="D28" s="1"/>
      <c r="E28" s="1"/>
      <c r="F28" s="1"/>
      <c r="G28" s="81"/>
      <c r="H28" s="1"/>
      <c r="I28" s="1"/>
      <c r="J28" s="1"/>
      <c r="K28" s="1"/>
      <c r="L28" s="1"/>
      <c r="M28" s="1"/>
      <c r="N28" s="1"/>
      <c r="O28" s="1"/>
      <c r="P28" s="1"/>
      <c r="R28" s="47"/>
      <c r="S28" s="1"/>
    </row>
    <row r="29" spans="1:19" ht="15.5">
      <c r="A29" s="1"/>
      <c r="B29" s="8" t="s">
        <v>34</v>
      </c>
      <c r="C29" s="1"/>
      <c r="D29" s="1"/>
      <c r="E29" s="1"/>
      <c r="F29" s="1"/>
      <c r="G29" s="81"/>
      <c r="H29" s="1"/>
      <c r="I29" s="1"/>
      <c r="J29" s="1"/>
      <c r="K29" s="1"/>
      <c r="L29" s="1"/>
      <c r="M29" s="1"/>
      <c r="N29" s="1"/>
      <c r="O29" s="1"/>
      <c r="P29" s="1"/>
      <c r="Q29" s="9"/>
      <c r="R29" s="47"/>
      <c r="S29" s="1"/>
    </row>
    <row r="30" spans="1:19" ht="15.5">
      <c r="A30" s="1"/>
      <c r="B30" s="7" t="s">
        <v>26</v>
      </c>
      <c r="C30" s="1">
        <f>COUNTIF($E$12:$E$27, "L")</f>
        <v>9</v>
      </c>
      <c r="D30" s="1"/>
      <c r="E30" s="1"/>
      <c r="G30" s="81"/>
      <c r="H30" s="1"/>
      <c r="I30" s="1"/>
      <c r="J30" s="1"/>
      <c r="K30" s="1"/>
      <c r="L30" s="1"/>
      <c r="M30" s="1"/>
      <c r="N30" s="1"/>
      <c r="O30" s="1"/>
      <c r="P30" s="1"/>
      <c r="Q30" s="9"/>
      <c r="R30" s="48"/>
      <c r="S30" s="1"/>
    </row>
    <row r="31" spans="1:19" ht="15.5">
      <c r="A31" s="1"/>
      <c r="B31" s="7" t="s">
        <v>31</v>
      </c>
      <c r="C31" s="1">
        <f>COUNTIF($E$12:$E$27, "P")</f>
        <v>7</v>
      </c>
      <c r="D31" s="1"/>
      <c r="E31" s="1"/>
      <c r="F31" s="1"/>
      <c r="G31" s="81"/>
      <c r="H31" s="1"/>
      <c r="I31" s="1"/>
      <c r="J31" s="1"/>
      <c r="K31" s="1"/>
      <c r="L31" s="1"/>
      <c r="M31" s="1"/>
      <c r="N31" s="1"/>
      <c r="O31" s="1"/>
      <c r="P31" s="9" t="s">
        <v>436</v>
      </c>
      <c r="R31" s="47"/>
      <c r="S31" s="1"/>
    </row>
    <row r="32" spans="1:19" ht="15.5">
      <c r="A32" s="1"/>
      <c r="B32" s="7" t="s">
        <v>32</v>
      </c>
      <c r="C32" s="1">
        <f>C30+C31</f>
        <v>16</v>
      </c>
      <c r="D32" s="1"/>
      <c r="E32" s="1"/>
      <c r="F32" s="1"/>
      <c r="G32" s="81"/>
      <c r="H32" s="1"/>
      <c r="I32" s="1"/>
      <c r="J32" s="1"/>
      <c r="K32" s="1"/>
      <c r="L32" s="1"/>
      <c r="M32" s="1"/>
      <c r="N32" s="1"/>
      <c r="O32" s="1"/>
      <c r="P32" s="1" t="s">
        <v>370</v>
      </c>
      <c r="Q32" s="9"/>
      <c r="R32" s="48"/>
      <c r="S32" s="1"/>
    </row>
    <row r="33" spans="1:19" ht="15.5">
      <c r="A33" s="1"/>
      <c r="B33" s="1"/>
      <c r="C33" s="1"/>
      <c r="D33" s="1"/>
      <c r="E33" s="1"/>
      <c r="F33" s="1"/>
      <c r="G33" s="81"/>
      <c r="H33" s="1"/>
      <c r="I33" s="1"/>
      <c r="J33" s="1"/>
      <c r="K33" s="1"/>
      <c r="L33" s="1"/>
      <c r="M33" s="1"/>
      <c r="N33" s="1"/>
      <c r="O33" s="1"/>
      <c r="P33" s="9"/>
      <c r="Q33" s="9"/>
      <c r="R33" s="48"/>
      <c r="S33" s="1"/>
    </row>
    <row r="34" spans="1:19" ht="15.5">
      <c r="A34" s="1"/>
      <c r="B34" s="1"/>
      <c r="C34" s="1"/>
      <c r="D34" s="1"/>
      <c r="E34" s="1"/>
      <c r="F34" s="1"/>
      <c r="G34" s="81"/>
      <c r="H34" s="1"/>
      <c r="I34" s="1"/>
      <c r="J34" s="1"/>
      <c r="K34" s="1"/>
      <c r="L34" s="1"/>
      <c r="M34" s="1"/>
      <c r="N34" s="1"/>
      <c r="O34" s="1"/>
      <c r="P34" s="9"/>
      <c r="Q34" s="9"/>
      <c r="R34" s="48"/>
      <c r="S34" s="1"/>
    </row>
    <row r="35" spans="1:19" ht="15.5">
      <c r="A35" s="1"/>
      <c r="B35" s="1"/>
      <c r="C35" s="1"/>
      <c r="D35" s="1"/>
      <c r="E35" s="1"/>
      <c r="F35" s="1"/>
      <c r="G35" s="81"/>
      <c r="H35" s="1"/>
      <c r="I35" s="1"/>
      <c r="J35" s="1"/>
      <c r="K35" s="1"/>
      <c r="L35" s="1"/>
      <c r="M35" s="1"/>
      <c r="N35" s="1"/>
      <c r="O35" s="1"/>
      <c r="P35" s="9"/>
      <c r="Q35" s="9"/>
      <c r="R35" s="48"/>
      <c r="S35" s="1"/>
    </row>
    <row r="36" spans="1:19" ht="15.5">
      <c r="P36" s="53" t="s">
        <v>371</v>
      </c>
      <c r="R36" s="48"/>
    </row>
    <row r="37" spans="1:19" ht="15.5">
      <c r="P37" s="1" t="s">
        <v>372</v>
      </c>
      <c r="Q37" s="9"/>
      <c r="R37" s="48"/>
    </row>
    <row r="38" spans="1:19" ht="14.5">
      <c r="R38" s="48"/>
    </row>
    <row r="39" spans="1:19" ht="14.5">
      <c r="R39" s="48"/>
    </row>
    <row r="40" spans="1:19" ht="14.5">
      <c r="R40" s="48"/>
    </row>
    <row r="41" spans="1:19" ht="14.5">
      <c r="R41" s="48"/>
    </row>
    <row r="42" spans="1:19" ht="14.5">
      <c r="R42" s="48"/>
    </row>
    <row r="43" spans="1:19" ht="14.5">
      <c r="R43" s="48"/>
    </row>
    <row r="44" spans="1:19" ht="14.5">
      <c r="R44" s="48"/>
    </row>
    <row r="45" spans="1:19" ht="14.5">
      <c r="R45" s="48"/>
    </row>
    <row r="46" spans="1:19" ht="14.5">
      <c r="R46" s="48"/>
    </row>
    <row r="47" spans="1:19" ht="14.5">
      <c r="R47" s="49"/>
    </row>
  </sheetData>
  <mergeCells count="13">
    <mergeCell ref="S9:S10"/>
    <mergeCell ref="A1:S1"/>
    <mergeCell ref="A2:S2"/>
    <mergeCell ref="A9:A10"/>
    <mergeCell ref="B9:C9"/>
    <mergeCell ref="D9:D10"/>
    <mergeCell ref="E9:E10"/>
    <mergeCell ref="F9:G9"/>
    <mergeCell ref="H9:H10"/>
    <mergeCell ref="O9:O10"/>
    <mergeCell ref="P9:Q9"/>
    <mergeCell ref="R9:R10"/>
    <mergeCell ref="I9:N9"/>
  </mergeCells>
  <conditionalFormatting sqref="G12:G27">
    <cfRule type="expression" dxfId="59" priority="8" stopIfTrue="1">
      <formula>G12=""</formula>
    </cfRule>
    <cfRule type="expression" dxfId="58" priority="9" stopIfTrue="1">
      <formula>AND(DATEVALUE(G12),G12&lt;&gt;"")</formula>
    </cfRule>
  </conditionalFormatting>
  <conditionalFormatting sqref="G16">
    <cfRule type="expression" dxfId="57" priority="6" stopIfTrue="1">
      <formula>G16=""</formula>
    </cfRule>
    <cfRule type="expression" dxfId="56" priority="7" stopIfTrue="1">
      <formula>AND(DATEVALUE(G16),G16&lt;&gt;"")</formula>
    </cfRule>
  </conditionalFormatting>
  <conditionalFormatting sqref="B12:B27">
    <cfRule type="duplicateValues" dxfId="55" priority="195" stopIfTrue="1"/>
  </conditionalFormatting>
  <dataValidations count="4">
    <dataValidation allowBlank="1" showInputMessage="1" showErrorMessage="1" prompt="Nomor Induk Siswa" sqref="B12:B27" xr:uid="{00000000-0002-0000-0300-000000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7" xr:uid="{00000000-0002-0000-0300-000001000000}">
      <formula1>"A, B, C, D, E, F, G, H, I, J, K, L,"</formula1>
    </dataValidation>
    <dataValidation allowBlank="1" showInputMessage="1" showErrorMessage="1" prompt="(yyyy-mm-dd)_x000a_1996-05-18" sqref="G12:G27" xr:uid="{00000000-0002-0000-0300-000002000000}"/>
    <dataValidation type="list" allowBlank="1" showDropDown="1" showInputMessage="1" showErrorMessage="1" error="Gunakan L = Laki-laki, P = Perempuan" prompt="L = Laki-laki_x000a_P = Perempuan" sqref="E12:E27" xr:uid="{00000000-0002-0000-0300-000003000000}">
      <formula1>"L, P,"</formula1>
    </dataValidation>
  </dataValidations>
  <pageMargins left="0.3" right="0.18" top="0.75" bottom="0.75" header="0.3" footer="0.3"/>
  <pageSetup paperSize="20000" scale="61" orientation="landscape" horizontalDpi="4294967293" verticalDpi="0" r:id="rId1"/>
  <ignoredErrors>
    <ignoredError sqref="C20 C27 P12:P20 C12 C13 C14 C15 C16 C17 C18 C19 C21 C22 C23 C24 C25 C26 B12:B20 P21:P27 B21:B2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5"/>
  <sheetViews>
    <sheetView topLeftCell="A11" zoomScale="80" zoomScaleNormal="80" workbookViewId="0">
      <selection activeCell="E26" sqref="E26"/>
    </sheetView>
  </sheetViews>
  <sheetFormatPr defaultColWidth="9.1796875" defaultRowHeight="13"/>
  <cols>
    <col min="1" max="1" width="9.1796875" style="55"/>
    <col min="2" max="2" width="12.453125" style="55" bestFit="1" customWidth="1"/>
    <col min="3" max="3" width="12.81640625" style="55" bestFit="1" customWidth="1"/>
    <col min="4" max="4" width="26.81640625" style="55" customWidth="1"/>
    <col min="5" max="5" width="9.1796875" style="55"/>
    <col min="6" max="6" width="12.26953125" style="55" bestFit="1" customWidth="1"/>
    <col min="7" max="7" width="13.7265625" style="55" bestFit="1" customWidth="1"/>
    <col min="8" max="8" width="7.54296875" style="55" bestFit="1" customWidth="1"/>
    <col min="9" max="9" width="20.7265625" style="55" bestFit="1" customWidth="1"/>
    <col min="10" max="10" width="6.453125" style="55" bestFit="1" customWidth="1"/>
    <col min="11" max="11" width="10" style="55" bestFit="1" customWidth="1"/>
    <col min="12" max="12" width="26.7265625" style="55" bestFit="1" customWidth="1"/>
    <col min="13" max="13" width="6.54296875" style="55" bestFit="1" customWidth="1"/>
    <col min="14" max="14" width="10" style="55" customWidth="1"/>
    <col min="15" max="15" width="25" style="55" bestFit="1" customWidth="1"/>
    <col min="16" max="16" width="7.7265625" style="55" bestFit="1" customWidth="1"/>
    <col min="17" max="17" width="7.1796875" style="55" bestFit="1" customWidth="1"/>
    <col min="18" max="18" width="6.26953125" style="55" bestFit="1" customWidth="1"/>
    <col min="19" max="19" width="8.7265625" style="55" customWidth="1"/>
    <col min="20" max="20" width="35.453125" style="55" customWidth="1"/>
    <col min="21" max="16384" width="9.1796875" style="55"/>
  </cols>
  <sheetData>
    <row r="1" spans="1:21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</row>
    <row r="2" spans="1:21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</row>
    <row r="3" spans="1:21" ht="15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5">
      <c r="A4" s="1" t="s">
        <v>1</v>
      </c>
      <c r="B4" s="1"/>
      <c r="C4" s="1" t="s">
        <v>108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5">
      <c r="A5" s="1" t="s">
        <v>2</v>
      </c>
      <c r="B5" s="1"/>
      <c r="C5" s="6" t="s">
        <v>109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5">
      <c r="A6" s="1" t="s">
        <v>3</v>
      </c>
      <c r="B6" s="1"/>
      <c r="C6" s="1" t="s">
        <v>284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>
      <c r="A7" s="1" t="s">
        <v>4</v>
      </c>
      <c r="B7" s="1"/>
      <c r="C7" s="1" t="s">
        <v>110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5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52" t="s">
        <v>13</v>
      </c>
      <c r="J9" s="153"/>
      <c r="K9" s="153"/>
      <c r="L9" s="153"/>
      <c r="M9" s="153"/>
      <c r="N9" s="154"/>
      <c r="O9" s="150" t="s">
        <v>17</v>
      </c>
      <c r="P9" s="144" t="s">
        <v>18</v>
      </c>
      <c r="Q9" s="144"/>
      <c r="R9" s="144" t="s">
        <v>21</v>
      </c>
      <c r="S9" s="144"/>
      <c r="T9" s="144" t="s">
        <v>24</v>
      </c>
      <c r="U9" s="144" t="s">
        <v>25</v>
      </c>
    </row>
    <row r="10" spans="1:21" ht="15.5">
      <c r="A10" s="144"/>
      <c r="B10" s="64" t="s">
        <v>7</v>
      </c>
      <c r="C10" s="64" t="s">
        <v>8</v>
      </c>
      <c r="D10" s="146"/>
      <c r="E10" s="144"/>
      <c r="F10" s="64" t="s">
        <v>27</v>
      </c>
      <c r="G10" s="64" t="s">
        <v>28</v>
      </c>
      <c r="H10" s="144"/>
      <c r="I10" s="67" t="s">
        <v>14</v>
      </c>
      <c r="J10" s="64" t="s">
        <v>15</v>
      </c>
      <c r="K10" s="64" t="s">
        <v>16</v>
      </c>
      <c r="L10" s="106" t="s">
        <v>687</v>
      </c>
      <c r="M10" s="105" t="s">
        <v>15</v>
      </c>
      <c r="N10" s="105" t="s">
        <v>16</v>
      </c>
      <c r="O10" s="151"/>
      <c r="P10" s="64" t="s">
        <v>19</v>
      </c>
      <c r="Q10" s="64" t="s">
        <v>20</v>
      </c>
      <c r="R10" s="64" t="s">
        <v>22</v>
      </c>
      <c r="S10" s="64" t="s">
        <v>23</v>
      </c>
      <c r="T10" s="144"/>
      <c r="U10" s="144"/>
    </row>
    <row r="11" spans="1:21" ht="15.5">
      <c r="A11" s="64">
        <v>1</v>
      </c>
      <c r="B11" s="64">
        <f t="shared" ref="B11:K11" si="0">A11+1</f>
        <v>2</v>
      </c>
      <c r="C11" s="64">
        <f t="shared" si="0"/>
        <v>3</v>
      </c>
      <c r="D11" s="65">
        <f t="shared" si="0"/>
        <v>4</v>
      </c>
      <c r="E11" s="64">
        <f t="shared" si="0"/>
        <v>5</v>
      </c>
      <c r="F11" s="64">
        <f t="shared" si="0"/>
        <v>6</v>
      </c>
      <c r="G11" s="64">
        <f t="shared" si="0"/>
        <v>7</v>
      </c>
      <c r="H11" s="64">
        <f t="shared" si="0"/>
        <v>8</v>
      </c>
      <c r="I11" s="65">
        <f t="shared" si="0"/>
        <v>9</v>
      </c>
      <c r="J11" s="64">
        <f t="shared" si="0"/>
        <v>10</v>
      </c>
      <c r="K11" s="64">
        <f t="shared" si="0"/>
        <v>11</v>
      </c>
      <c r="L11" s="105">
        <f t="shared" ref="L11" si="1">K11+1</f>
        <v>12</v>
      </c>
      <c r="M11" s="105">
        <f t="shared" ref="M11" si="2">L11+1</f>
        <v>13</v>
      </c>
      <c r="N11" s="105">
        <f t="shared" ref="N11" si="3">M11+1</f>
        <v>14</v>
      </c>
      <c r="O11" s="105">
        <f t="shared" ref="O11" si="4">N11+1</f>
        <v>15</v>
      </c>
      <c r="P11" s="105">
        <f t="shared" ref="P11" si="5">O11+1</f>
        <v>16</v>
      </c>
      <c r="Q11" s="105">
        <f t="shared" ref="Q11" si="6">P11+1</f>
        <v>17</v>
      </c>
      <c r="R11" s="105">
        <f t="shared" ref="R11" si="7">Q11+1</f>
        <v>18</v>
      </c>
      <c r="S11" s="105">
        <f t="shared" ref="S11" si="8">R11+1</f>
        <v>19</v>
      </c>
      <c r="T11" s="105">
        <f t="shared" ref="T11" si="9">S11+1</f>
        <v>20</v>
      </c>
      <c r="U11" s="105">
        <f t="shared" ref="U11" si="10">T11+1</f>
        <v>21</v>
      </c>
    </row>
    <row r="12" spans="1:21" ht="16.5" customHeight="1">
      <c r="A12" s="64">
        <v>1</v>
      </c>
      <c r="B12" s="14" t="s">
        <v>559</v>
      </c>
      <c r="C12" s="18" t="s">
        <v>476</v>
      </c>
      <c r="D12" s="23" t="s">
        <v>450</v>
      </c>
      <c r="E12" s="19" t="s">
        <v>26</v>
      </c>
      <c r="F12" s="15" t="s">
        <v>37</v>
      </c>
      <c r="G12" s="123" t="s">
        <v>272</v>
      </c>
      <c r="H12" s="68" t="s">
        <v>29</v>
      </c>
      <c r="I12" s="22" t="s">
        <v>273</v>
      </c>
      <c r="J12" s="69" t="s">
        <v>38</v>
      </c>
      <c r="K12" s="64" t="s">
        <v>42</v>
      </c>
      <c r="L12" s="5" t="s">
        <v>755</v>
      </c>
      <c r="M12" s="105"/>
      <c r="N12" s="105" t="s">
        <v>656</v>
      </c>
      <c r="O12" s="64" t="s">
        <v>76</v>
      </c>
      <c r="P12" s="64" t="s">
        <v>33</v>
      </c>
      <c r="Q12" s="64" t="s">
        <v>33</v>
      </c>
      <c r="R12" s="10" t="s">
        <v>376</v>
      </c>
      <c r="S12" s="68">
        <v>2021</v>
      </c>
      <c r="T12" s="23" t="s">
        <v>78</v>
      </c>
      <c r="U12" s="69"/>
    </row>
    <row r="13" spans="1:21" ht="16.5" customHeight="1">
      <c r="A13" s="94">
        <v>2</v>
      </c>
      <c r="B13" s="14" t="s">
        <v>560</v>
      </c>
      <c r="C13" s="18" t="s">
        <v>507</v>
      </c>
      <c r="D13" s="28" t="s">
        <v>252</v>
      </c>
      <c r="E13" s="21" t="s">
        <v>30</v>
      </c>
      <c r="F13" s="17" t="s">
        <v>37</v>
      </c>
      <c r="G13" s="31" t="s">
        <v>253</v>
      </c>
      <c r="H13" s="68" t="s">
        <v>29</v>
      </c>
      <c r="I13" s="28" t="s">
        <v>254</v>
      </c>
      <c r="J13" s="69" t="s">
        <v>38</v>
      </c>
      <c r="K13" s="64" t="s">
        <v>42</v>
      </c>
      <c r="L13" s="5" t="s">
        <v>757</v>
      </c>
      <c r="M13" s="105"/>
      <c r="N13" s="105" t="s">
        <v>656</v>
      </c>
      <c r="O13" s="64" t="s">
        <v>76</v>
      </c>
      <c r="P13" s="64" t="s">
        <v>33</v>
      </c>
      <c r="Q13" s="64" t="s">
        <v>33</v>
      </c>
      <c r="R13" s="10" t="s">
        <v>376</v>
      </c>
      <c r="S13" s="68">
        <v>2021</v>
      </c>
      <c r="T13" s="28" t="s">
        <v>255</v>
      </c>
      <c r="U13" s="69"/>
    </row>
    <row r="14" spans="1:21" ht="16.5" customHeight="1">
      <c r="A14" s="94">
        <v>3</v>
      </c>
      <c r="B14" s="14" t="s">
        <v>561</v>
      </c>
      <c r="C14" s="18" t="s">
        <v>477</v>
      </c>
      <c r="D14" s="23" t="s">
        <v>256</v>
      </c>
      <c r="E14" s="19" t="s">
        <v>30</v>
      </c>
      <c r="F14" s="15" t="s">
        <v>37</v>
      </c>
      <c r="G14" s="123" t="s">
        <v>257</v>
      </c>
      <c r="H14" s="68" t="s">
        <v>29</v>
      </c>
      <c r="I14" s="22" t="s">
        <v>258</v>
      </c>
      <c r="J14" s="69" t="s">
        <v>38</v>
      </c>
      <c r="K14" s="64" t="s">
        <v>39</v>
      </c>
      <c r="L14" s="5" t="s">
        <v>750</v>
      </c>
      <c r="M14" s="105"/>
      <c r="N14" s="105" t="s">
        <v>656</v>
      </c>
      <c r="O14" s="64" t="s">
        <v>76</v>
      </c>
      <c r="P14" s="64" t="s">
        <v>33</v>
      </c>
      <c r="Q14" s="64" t="s">
        <v>33</v>
      </c>
      <c r="R14" s="10" t="s">
        <v>376</v>
      </c>
      <c r="S14" s="68">
        <v>2021</v>
      </c>
      <c r="T14" s="23" t="s">
        <v>82</v>
      </c>
      <c r="U14" s="69"/>
    </row>
    <row r="15" spans="1:21" ht="16.5" customHeight="1">
      <c r="A15" s="94">
        <v>4</v>
      </c>
      <c r="B15" s="14" t="s">
        <v>562</v>
      </c>
      <c r="C15" s="27" t="s">
        <v>478</v>
      </c>
      <c r="D15" s="23" t="s">
        <v>280</v>
      </c>
      <c r="E15" s="21" t="s">
        <v>30</v>
      </c>
      <c r="F15" s="17" t="s">
        <v>37</v>
      </c>
      <c r="G15" s="30" t="s">
        <v>281</v>
      </c>
      <c r="H15" s="68" t="s">
        <v>29</v>
      </c>
      <c r="I15" s="22" t="s">
        <v>282</v>
      </c>
      <c r="J15" s="69" t="s">
        <v>36</v>
      </c>
      <c r="K15" s="64" t="s">
        <v>39</v>
      </c>
      <c r="L15" s="5" t="s">
        <v>751</v>
      </c>
      <c r="M15" s="105"/>
      <c r="N15" s="105" t="s">
        <v>656</v>
      </c>
      <c r="O15" s="64" t="s">
        <v>76</v>
      </c>
      <c r="P15" s="64" t="s">
        <v>33</v>
      </c>
      <c r="Q15" s="64" t="s">
        <v>33</v>
      </c>
      <c r="R15" s="10" t="s">
        <v>376</v>
      </c>
      <c r="S15" s="68">
        <v>2021</v>
      </c>
      <c r="T15" s="22" t="s">
        <v>283</v>
      </c>
      <c r="U15" s="69"/>
    </row>
    <row r="16" spans="1:21" ht="16.5" customHeight="1">
      <c r="A16" s="94">
        <v>5</v>
      </c>
      <c r="B16" s="14" t="s">
        <v>563</v>
      </c>
      <c r="C16" s="18" t="s">
        <v>479</v>
      </c>
      <c r="D16" s="23" t="s">
        <v>265</v>
      </c>
      <c r="E16" s="19" t="s">
        <v>26</v>
      </c>
      <c r="F16" s="15" t="s">
        <v>37</v>
      </c>
      <c r="G16" s="123" t="s">
        <v>266</v>
      </c>
      <c r="H16" s="68" t="s">
        <v>29</v>
      </c>
      <c r="I16" s="22" t="s">
        <v>91</v>
      </c>
      <c r="J16" s="69" t="s">
        <v>40</v>
      </c>
      <c r="K16" s="64" t="s">
        <v>42</v>
      </c>
      <c r="L16" s="5" t="s">
        <v>756</v>
      </c>
      <c r="M16" s="105"/>
      <c r="N16" s="105" t="s">
        <v>656</v>
      </c>
      <c r="O16" s="64" t="s">
        <v>76</v>
      </c>
      <c r="P16" s="64" t="s">
        <v>33</v>
      </c>
      <c r="Q16" s="64" t="s">
        <v>33</v>
      </c>
      <c r="R16" s="10" t="s">
        <v>376</v>
      </c>
      <c r="S16" s="68">
        <v>2021</v>
      </c>
      <c r="T16" s="23" t="s">
        <v>267</v>
      </c>
      <c r="U16" s="69"/>
    </row>
    <row r="17" spans="1:21" ht="16.5" customHeight="1">
      <c r="A17" s="94">
        <v>6</v>
      </c>
      <c r="B17" s="14" t="s">
        <v>564</v>
      </c>
      <c r="C17" s="18" t="s">
        <v>480</v>
      </c>
      <c r="D17" s="23" t="s">
        <v>293</v>
      </c>
      <c r="E17" s="20" t="s">
        <v>26</v>
      </c>
      <c r="F17" s="16" t="s">
        <v>37</v>
      </c>
      <c r="G17" s="123">
        <v>42008</v>
      </c>
      <c r="H17" s="68" t="s">
        <v>29</v>
      </c>
      <c r="I17" s="22" t="s">
        <v>246</v>
      </c>
      <c r="J17" s="69" t="s">
        <v>38</v>
      </c>
      <c r="K17" s="64" t="s">
        <v>42</v>
      </c>
      <c r="L17" s="5" t="s">
        <v>753</v>
      </c>
      <c r="M17" s="105"/>
      <c r="N17" s="105" t="s">
        <v>656</v>
      </c>
      <c r="O17" s="64" t="s">
        <v>76</v>
      </c>
      <c r="P17" s="64" t="s">
        <v>33</v>
      </c>
      <c r="Q17" s="64" t="s">
        <v>33</v>
      </c>
      <c r="R17" s="10" t="s">
        <v>376</v>
      </c>
      <c r="S17" s="68">
        <v>2021</v>
      </c>
      <c r="T17" s="23" t="s">
        <v>245</v>
      </c>
      <c r="U17" s="69"/>
    </row>
    <row r="18" spans="1:21" ht="16.5" customHeight="1">
      <c r="A18" s="94">
        <v>7</v>
      </c>
      <c r="B18" s="14" t="s">
        <v>565</v>
      </c>
      <c r="C18" s="18" t="s">
        <v>788</v>
      </c>
      <c r="D18" s="28" t="s">
        <v>263</v>
      </c>
      <c r="E18" s="19" t="s">
        <v>26</v>
      </c>
      <c r="F18" s="33" t="s">
        <v>37</v>
      </c>
      <c r="G18" s="123">
        <v>42128</v>
      </c>
      <c r="H18" s="68" t="s">
        <v>29</v>
      </c>
      <c r="I18" s="28" t="s">
        <v>264</v>
      </c>
      <c r="J18" s="69" t="s">
        <v>38</v>
      </c>
      <c r="K18" s="64" t="s">
        <v>42</v>
      </c>
      <c r="L18" s="5" t="s">
        <v>758</v>
      </c>
      <c r="M18" s="105"/>
      <c r="N18" s="105" t="s">
        <v>656</v>
      </c>
      <c r="O18" s="64" t="s">
        <v>76</v>
      </c>
      <c r="P18" s="64" t="s">
        <v>33</v>
      </c>
      <c r="Q18" s="64" t="s">
        <v>33</v>
      </c>
      <c r="R18" s="10" t="s">
        <v>376</v>
      </c>
      <c r="S18" s="68">
        <v>2021</v>
      </c>
      <c r="T18" s="28" t="s">
        <v>82</v>
      </c>
      <c r="U18" s="69"/>
    </row>
    <row r="19" spans="1:21" ht="16.5" customHeight="1">
      <c r="A19" s="94">
        <v>8</v>
      </c>
      <c r="B19" s="14" t="s">
        <v>566</v>
      </c>
      <c r="C19" s="18" t="s">
        <v>481</v>
      </c>
      <c r="D19" s="23" t="s">
        <v>242</v>
      </c>
      <c r="E19" s="19" t="s">
        <v>26</v>
      </c>
      <c r="F19" s="15" t="s">
        <v>37</v>
      </c>
      <c r="G19" s="123">
        <v>42010</v>
      </c>
      <c r="H19" s="68" t="s">
        <v>29</v>
      </c>
      <c r="I19" s="22" t="s">
        <v>243</v>
      </c>
      <c r="J19" s="69" t="s">
        <v>38</v>
      </c>
      <c r="K19" s="64" t="s">
        <v>42</v>
      </c>
      <c r="L19" s="5" t="s">
        <v>746</v>
      </c>
      <c r="M19" s="105"/>
      <c r="N19" s="105" t="s">
        <v>656</v>
      </c>
      <c r="O19" s="64" t="s">
        <v>76</v>
      </c>
      <c r="P19" s="64" t="s">
        <v>33</v>
      </c>
      <c r="Q19" s="64" t="s">
        <v>33</v>
      </c>
      <c r="R19" s="10" t="s">
        <v>376</v>
      </c>
      <c r="S19" s="68">
        <v>2021</v>
      </c>
      <c r="T19" s="23" t="s">
        <v>244</v>
      </c>
      <c r="U19" s="69"/>
    </row>
    <row r="20" spans="1:21" ht="16.5" customHeight="1">
      <c r="A20" s="94">
        <v>9</v>
      </c>
      <c r="B20" s="14" t="s">
        <v>567</v>
      </c>
      <c r="C20" s="18" t="s">
        <v>482</v>
      </c>
      <c r="D20" s="23" t="s">
        <v>259</v>
      </c>
      <c r="E20" s="21" t="s">
        <v>26</v>
      </c>
      <c r="F20" s="17" t="s">
        <v>35</v>
      </c>
      <c r="G20" s="123">
        <v>42279</v>
      </c>
      <c r="H20" s="68" t="s">
        <v>29</v>
      </c>
      <c r="I20" s="22" t="s">
        <v>260</v>
      </c>
      <c r="J20" s="69" t="s">
        <v>38</v>
      </c>
      <c r="K20" s="64" t="s">
        <v>42</v>
      </c>
      <c r="L20" s="5" t="s">
        <v>749</v>
      </c>
      <c r="M20" s="105"/>
      <c r="N20" s="105" t="s">
        <v>656</v>
      </c>
      <c r="O20" s="64" t="s">
        <v>76</v>
      </c>
      <c r="P20" s="64"/>
      <c r="Q20" s="64"/>
      <c r="R20" s="10" t="s">
        <v>376</v>
      </c>
      <c r="S20" s="68">
        <v>2021</v>
      </c>
      <c r="T20" s="22" t="s">
        <v>82</v>
      </c>
      <c r="U20" s="69"/>
    </row>
    <row r="21" spans="1:21" ht="16.5" customHeight="1">
      <c r="A21" s="94">
        <v>10</v>
      </c>
      <c r="B21" s="14" t="s">
        <v>568</v>
      </c>
      <c r="C21" s="18" t="s">
        <v>483</v>
      </c>
      <c r="D21" s="23" t="s">
        <v>268</v>
      </c>
      <c r="E21" s="19" t="s">
        <v>26</v>
      </c>
      <c r="F21" s="15" t="s">
        <v>35</v>
      </c>
      <c r="G21" s="123" t="s">
        <v>269</v>
      </c>
      <c r="H21" s="68" t="s">
        <v>29</v>
      </c>
      <c r="I21" s="22" t="s">
        <v>270</v>
      </c>
      <c r="J21" s="69" t="s">
        <v>40</v>
      </c>
      <c r="K21" s="64" t="s">
        <v>42</v>
      </c>
      <c r="L21" s="5" t="s">
        <v>747</v>
      </c>
      <c r="M21" s="105"/>
      <c r="N21" s="105" t="s">
        <v>656</v>
      </c>
      <c r="O21" s="64" t="s">
        <v>76</v>
      </c>
      <c r="P21" s="64" t="s">
        <v>33</v>
      </c>
      <c r="Q21" s="64" t="s">
        <v>33</v>
      </c>
      <c r="R21" s="10" t="s">
        <v>376</v>
      </c>
      <c r="S21" s="68">
        <v>2021</v>
      </c>
      <c r="T21" s="23" t="s">
        <v>271</v>
      </c>
      <c r="U21" s="69"/>
    </row>
    <row r="22" spans="1:21" ht="16.5" customHeight="1">
      <c r="A22" s="94">
        <v>11</v>
      </c>
      <c r="B22" s="14" t="s">
        <v>569</v>
      </c>
      <c r="C22" s="18" t="s">
        <v>484</v>
      </c>
      <c r="D22" s="28" t="s">
        <v>513</v>
      </c>
      <c r="E22" s="21" t="s">
        <v>30</v>
      </c>
      <c r="F22" s="17" t="s">
        <v>35</v>
      </c>
      <c r="G22" s="31" t="s">
        <v>541</v>
      </c>
      <c r="H22" s="68" t="s">
        <v>29</v>
      </c>
      <c r="I22" s="28" t="s">
        <v>261</v>
      </c>
      <c r="J22" s="69" t="s">
        <v>33</v>
      </c>
      <c r="K22" s="64"/>
      <c r="L22" s="5" t="s">
        <v>745</v>
      </c>
      <c r="M22" s="105"/>
      <c r="N22" s="105" t="s">
        <v>656</v>
      </c>
      <c r="O22" s="64" t="s">
        <v>76</v>
      </c>
      <c r="P22" s="64" t="s">
        <v>33</v>
      </c>
      <c r="Q22" s="64" t="s">
        <v>33</v>
      </c>
      <c r="R22" s="10" t="s">
        <v>376</v>
      </c>
      <c r="S22" s="68">
        <v>2021</v>
      </c>
      <c r="T22" s="28" t="s">
        <v>262</v>
      </c>
      <c r="U22" s="69"/>
    </row>
    <row r="23" spans="1:21" ht="16.5" customHeight="1">
      <c r="A23" s="94">
        <v>12</v>
      </c>
      <c r="B23" s="14" t="s">
        <v>570</v>
      </c>
      <c r="C23" s="18" t="s">
        <v>485</v>
      </c>
      <c r="D23" s="23" t="s">
        <v>274</v>
      </c>
      <c r="E23" s="19" t="s">
        <v>30</v>
      </c>
      <c r="F23" s="15" t="s">
        <v>35</v>
      </c>
      <c r="G23" s="123">
        <v>42127</v>
      </c>
      <c r="H23" s="68" t="s">
        <v>29</v>
      </c>
      <c r="I23" s="22" t="s">
        <v>275</v>
      </c>
      <c r="J23" s="69" t="s">
        <v>36</v>
      </c>
      <c r="K23" s="64" t="s">
        <v>42</v>
      </c>
      <c r="L23" s="5" t="s">
        <v>754</v>
      </c>
      <c r="M23" s="105"/>
      <c r="N23" s="105" t="s">
        <v>656</v>
      </c>
      <c r="O23" s="64" t="s">
        <v>76</v>
      </c>
      <c r="P23" s="64" t="s">
        <v>33</v>
      </c>
      <c r="Q23" s="64" t="s">
        <v>33</v>
      </c>
      <c r="R23" s="10" t="s">
        <v>376</v>
      </c>
      <c r="S23" s="68">
        <v>2021</v>
      </c>
      <c r="T23" s="23" t="s">
        <v>276</v>
      </c>
      <c r="U23" s="69"/>
    </row>
    <row r="24" spans="1:21" ht="16.5" customHeight="1">
      <c r="A24" s="94">
        <v>13</v>
      </c>
      <c r="B24" s="14" t="s">
        <v>571</v>
      </c>
      <c r="C24" s="18" t="s">
        <v>486</v>
      </c>
      <c r="D24" s="23" t="s">
        <v>451</v>
      </c>
      <c r="E24" s="21" t="s">
        <v>26</v>
      </c>
      <c r="F24" s="17" t="s">
        <v>37</v>
      </c>
      <c r="G24" s="31" t="s">
        <v>361</v>
      </c>
      <c r="H24" s="68" t="s">
        <v>29</v>
      </c>
      <c r="I24" s="22" t="s">
        <v>362</v>
      </c>
      <c r="J24" s="69" t="s">
        <v>40</v>
      </c>
      <c r="K24" s="64" t="s">
        <v>42</v>
      </c>
      <c r="L24" s="5" t="s">
        <v>734</v>
      </c>
      <c r="M24" s="105"/>
      <c r="N24" s="105" t="s">
        <v>656</v>
      </c>
      <c r="O24" s="64" t="s">
        <v>76</v>
      </c>
      <c r="P24" s="64" t="s">
        <v>33</v>
      </c>
      <c r="Q24" s="64" t="s">
        <v>33</v>
      </c>
      <c r="R24" s="10" t="s">
        <v>376</v>
      </c>
      <c r="S24" s="68">
        <v>2021</v>
      </c>
      <c r="T24" s="22" t="s">
        <v>78</v>
      </c>
      <c r="U24" s="69"/>
    </row>
    <row r="25" spans="1:21" ht="16.5" customHeight="1">
      <c r="A25" s="94">
        <v>14</v>
      </c>
      <c r="B25" s="14" t="s">
        <v>572</v>
      </c>
      <c r="C25" s="18" t="s">
        <v>487</v>
      </c>
      <c r="D25" s="23" t="s">
        <v>277</v>
      </c>
      <c r="E25" s="19" t="s">
        <v>30</v>
      </c>
      <c r="F25" s="15" t="s">
        <v>37</v>
      </c>
      <c r="G25" s="123" t="s">
        <v>278</v>
      </c>
      <c r="H25" s="68" t="s">
        <v>29</v>
      </c>
      <c r="I25" s="22" t="s">
        <v>279</v>
      </c>
      <c r="J25" s="69" t="s">
        <v>38</v>
      </c>
      <c r="K25" s="64" t="s">
        <v>180</v>
      </c>
      <c r="L25" s="5" t="s">
        <v>748</v>
      </c>
      <c r="M25" s="105"/>
      <c r="N25" s="105" t="s">
        <v>44</v>
      </c>
      <c r="O25" s="64" t="s">
        <v>76</v>
      </c>
      <c r="P25" s="64" t="s">
        <v>33</v>
      </c>
      <c r="Q25" s="64" t="s">
        <v>33</v>
      </c>
      <c r="R25" s="10" t="s">
        <v>376</v>
      </c>
      <c r="S25" s="68">
        <v>2021</v>
      </c>
      <c r="T25" s="23" t="s">
        <v>79</v>
      </c>
      <c r="U25" s="69"/>
    </row>
    <row r="26" spans="1:21" ht="17.25" customHeight="1">
      <c r="A26" s="94">
        <v>15</v>
      </c>
      <c r="B26" s="14" t="s">
        <v>573</v>
      </c>
      <c r="C26" s="3" t="s">
        <v>488</v>
      </c>
      <c r="D26" s="23" t="s">
        <v>247</v>
      </c>
      <c r="E26" s="44" t="s">
        <v>30</v>
      </c>
      <c r="F26" s="15" t="s">
        <v>248</v>
      </c>
      <c r="G26" s="123" t="s">
        <v>249</v>
      </c>
      <c r="H26" s="64" t="s">
        <v>29</v>
      </c>
      <c r="I26" s="22" t="s">
        <v>250</v>
      </c>
      <c r="J26" s="64" t="s">
        <v>38</v>
      </c>
      <c r="K26" s="64" t="s">
        <v>42</v>
      </c>
      <c r="L26" s="5" t="s">
        <v>752</v>
      </c>
      <c r="M26" s="105"/>
      <c r="N26" s="105" t="s">
        <v>656</v>
      </c>
      <c r="O26" s="64" t="s">
        <v>76</v>
      </c>
      <c r="P26" s="64" t="s">
        <v>33</v>
      </c>
      <c r="Q26" s="64" t="s">
        <v>33</v>
      </c>
      <c r="R26" s="10" t="s">
        <v>376</v>
      </c>
      <c r="S26" s="68">
        <v>2021</v>
      </c>
      <c r="T26" s="23" t="s">
        <v>251</v>
      </c>
      <c r="U26" s="64"/>
    </row>
    <row r="27" spans="1:21" ht="15.5">
      <c r="A27" s="1"/>
      <c r="B27" s="8" t="s">
        <v>34</v>
      </c>
      <c r="C27" s="1"/>
      <c r="D27" s="1"/>
      <c r="E27" s="1"/>
      <c r="F27" s="1"/>
      <c r="G27" s="5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9"/>
      <c r="T27" s="9"/>
      <c r="U27" s="1"/>
    </row>
    <row r="28" spans="1:21" ht="15.5">
      <c r="A28" s="1"/>
      <c r="B28" s="66" t="s">
        <v>26</v>
      </c>
      <c r="C28" s="1">
        <f>COUNTIF($E$12:$E$26, "L")</f>
        <v>8</v>
      </c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9" t="s">
        <v>612</v>
      </c>
      <c r="U28" s="1"/>
    </row>
    <row r="29" spans="1:21" ht="15.5">
      <c r="A29" s="1"/>
      <c r="B29" s="66" t="s">
        <v>31</v>
      </c>
      <c r="C29" s="1">
        <f>COUNTIF($E$12:$E$26, "P")</f>
        <v>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370</v>
      </c>
      <c r="T29" s="9"/>
      <c r="U29" s="1"/>
    </row>
    <row r="30" spans="1:21" ht="15.5">
      <c r="A30" s="1"/>
      <c r="B30" s="66" t="s">
        <v>32</v>
      </c>
      <c r="C30" s="1">
        <f>C28+C29</f>
        <v>15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1"/>
    </row>
    <row r="31" spans="1:21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1"/>
    </row>
    <row r="32" spans="1:21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9"/>
      <c r="T32" s="9"/>
      <c r="U32" s="1"/>
    </row>
    <row r="33" spans="1:21" ht="15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53" t="s">
        <v>371</v>
      </c>
      <c r="U33" s="1"/>
    </row>
    <row r="34" spans="1:21" ht="15.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372</v>
      </c>
      <c r="T34" s="9"/>
    </row>
    <row r="35" spans="1:21" ht="15.5">
      <c r="R35" s="1"/>
      <c r="T35" s="9"/>
    </row>
  </sheetData>
  <mergeCells count="14">
    <mergeCell ref="R9:S9"/>
    <mergeCell ref="T9:T10"/>
    <mergeCell ref="U9:U10"/>
    <mergeCell ref="A1:U1"/>
    <mergeCell ref="A2:U2"/>
    <mergeCell ref="A9:A10"/>
    <mergeCell ref="B9:C9"/>
    <mergeCell ref="D9:D10"/>
    <mergeCell ref="E9:E10"/>
    <mergeCell ref="F9:G9"/>
    <mergeCell ref="H9:H10"/>
    <mergeCell ref="O9:O10"/>
    <mergeCell ref="P9:Q9"/>
    <mergeCell ref="I9:N9"/>
  </mergeCells>
  <conditionalFormatting sqref="G12:G26">
    <cfRule type="expression" dxfId="54" priority="12" stopIfTrue="1">
      <formula>G12=""</formula>
    </cfRule>
    <cfRule type="expression" dxfId="53" priority="13" stopIfTrue="1">
      <formula>AND(DATEVALUE(G12),G12&lt;&gt;"")</formula>
    </cfRule>
  </conditionalFormatting>
  <conditionalFormatting sqref="G15">
    <cfRule type="expression" dxfId="52" priority="10" stopIfTrue="1">
      <formula>G15=""</formula>
    </cfRule>
    <cfRule type="expression" dxfId="51" priority="11" stopIfTrue="1">
      <formula>AND(DATEVALUE(G15),G15&lt;&gt;"")</formula>
    </cfRule>
  </conditionalFormatting>
  <conditionalFormatting sqref="B25 B20 B13 B18 B23">
    <cfRule type="duplicateValues" dxfId="50" priority="64" stopIfTrue="1"/>
  </conditionalFormatting>
  <conditionalFormatting sqref="B21:B22 B19 B14:B17 B12 B24">
    <cfRule type="duplicateValues" dxfId="49" priority="105" stopIfTrue="1"/>
  </conditionalFormatting>
  <conditionalFormatting sqref="G27">
    <cfRule type="expression" dxfId="48" priority="1" stopIfTrue="1">
      <formula>G27=""</formula>
    </cfRule>
    <cfRule type="expression" dxfId="47" priority="2" stopIfTrue="1">
      <formula>AND(DATEVALUE(G27),G27&lt;&gt;"")</formula>
    </cfRule>
  </conditionalFormatting>
  <dataValidations count="5">
    <dataValidation allowBlank="1" showInputMessage="1" showErrorMessage="1" prompt="(yyyy-mm-dd)_x000a_1996-05-18" sqref="G27 G12:G26" xr:uid="{00000000-0002-0000-0400-000000000000}"/>
    <dataValidation allowBlank="1" showInputMessage="1" showErrorMessage="1" prompt="Tempat Lahir" sqref="F12:F25" xr:uid="{00000000-0002-0000-0400-000001000000}"/>
    <dataValidation allowBlank="1" showInputMessage="1" showErrorMessage="1" prompt="Nomor Induk Siswa" sqref="B12:B25" xr:uid="{00000000-0002-0000-0400-000002000000}"/>
    <dataValidation type="list" allowBlank="1" showDropDown="1" showInputMessage="1" showErrorMessage="1" error="Gunakan L = Laki-laki, P = Perempuan" prompt="L = Laki-laki_x000a_P = Perempuan" sqref="E12:E25" xr:uid="{00000000-0002-0000-0400-000003000000}">
      <formula1>"L, P,"</formula1>
    </dataValidation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5" xr:uid="{00000000-0002-0000-0400-000004000000}">
      <formula1>"A, B, C, D, E, F, G, H, I, J, K, L,"</formula1>
    </dataValidation>
  </dataValidations>
  <pageMargins left="0.23622047244094491" right="0.23622047244094491" top="0.15748031496062992" bottom="0.35433070866141736" header="0.31496062992125984" footer="0.31496062992125984"/>
  <pageSetup paperSize="20000" scale="56" fitToHeight="0" orientation="landscape" horizontalDpi="0" verticalDpi="0" r:id="rId1"/>
  <ignoredErrors>
    <ignoredError sqref="R12:R26 C12 C13 C15 C16 C17 C19 C20 C21 C22 C23 C24 C25 C26 B12:B13 B19:B26 B18:C18 B15:B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6"/>
  <sheetViews>
    <sheetView topLeftCell="E7" zoomScale="71" zoomScaleNormal="71" workbookViewId="0">
      <selection activeCell="I15" sqref="I15:T15"/>
    </sheetView>
  </sheetViews>
  <sheetFormatPr defaultColWidth="9.1796875" defaultRowHeight="13"/>
  <cols>
    <col min="1" max="1" width="8.1796875" style="55" customWidth="1"/>
    <col min="2" max="2" width="9.1796875" style="55"/>
    <col min="3" max="3" width="13.453125" style="55" customWidth="1"/>
    <col min="4" max="4" width="33.54296875" style="55" bestFit="1" customWidth="1"/>
    <col min="5" max="5" width="9.1796875" style="55"/>
    <col min="6" max="6" width="12.7265625" style="55" customWidth="1"/>
    <col min="7" max="7" width="12.7265625" style="75" bestFit="1" customWidth="1"/>
    <col min="8" max="8" width="9.1796875" style="55"/>
    <col min="9" max="9" width="17.453125" style="55" bestFit="1" customWidth="1"/>
    <col min="10" max="10" width="9.1796875" style="55"/>
    <col min="11" max="11" width="11.1796875" style="55" bestFit="1" customWidth="1"/>
    <col min="12" max="12" width="23.1796875" style="55" bestFit="1" customWidth="1"/>
    <col min="13" max="14" width="11.1796875" style="55" customWidth="1"/>
    <col min="15" max="15" width="14.81640625" style="55" bestFit="1" customWidth="1"/>
    <col min="16" max="16" width="8.26953125" style="55" customWidth="1"/>
    <col min="17" max="17" width="7.81640625" style="55" customWidth="1"/>
    <col min="18" max="18" width="8.26953125" style="55" customWidth="1"/>
    <col min="19" max="19" width="9.1796875" style="55"/>
    <col min="20" max="20" width="39.1796875" style="55" bestFit="1" customWidth="1"/>
    <col min="21" max="16384" width="9.1796875" style="55"/>
  </cols>
  <sheetData>
    <row r="1" spans="1:21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</row>
    <row r="2" spans="1:21" ht="15.5">
      <c r="A2" s="145" t="s">
        <v>607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</row>
    <row r="3" spans="1:21" ht="15.5">
      <c r="A3" s="1"/>
      <c r="B3" s="1"/>
      <c r="C3" s="1"/>
      <c r="D3" s="1"/>
      <c r="E3" s="1"/>
      <c r="F3" s="1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5">
      <c r="A4" s="1" t="s">
        <v>1</v>
      </c>
      <c r="B4" s="1"/>
      <c r="C4" s="1" t="s">
        <v>108</v>
      </c>
      <c r="D4" s="1"/>
      <c r="E4" s="1"/>
      <c r="F4" s="1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5">
      <c r="A5" s="1" t="s">
        <v>2</v>
      </c>
      <c r="B5" s="1"/>
      <c r="C5" s="6" t="s">
        <v>109</v>
      </c>
      <c r="D5" s="6"/>
      <c r="E5" s="1"/>
      <c r="F5" s="1"/>
      <c r="G5" s="3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5">
      <c r="A6" s="1" t="s">
        <v>3</v>
      </c>
      <c r="B6" s="1"/>
      <c r="C6" s="1" t="s">
        <v>353</v>
      </c>
      <c r="D6" s="1"/>
      <c r="E6" s="1"/>
      <c r="F6" s="1"/>
      <c r="G6" s="3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>
      <c r="A7" s="1" t="s">
        <v>4</v>
      </c>
      <c r="B7" s="1"/>
      <c r="C7" s="1" t="s">
        <v>110</v>
      </c>
      <c r="D7" s="1"/>
      <c r="E7" s="1"/>
      <c r="F7" s="1"/>
      <c r="G7" s="3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5">
      <c r="A8" s="1"/>
      <c r="B8" s="1"/>
      <c r="C8" s="1"/>
      <c r="D8" s="1"/>
      <c r="E8" s="1"/>
      <c r="F8" s="1"/>
      <c r="G8" s="3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5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52" t="s">
        <v>13</v>
      </c>
      <c r="J9" s="153"/>
      <c r="K9" s="153"/>
      <c r="L9" s="153"/>
      <c r="M9" s="153"/>
      <c r="N9" s="154"/>
      <c r="O9" s="150" t="s">
        <v>17</v>
      </c>
      <c r="P9" s="144" t="s">
        <v>18</v>
      </c>
      <c r="Q9" s="144"/>
      <c r="R9" s="144" t="s">
        <v>21</v>
      </c>
      <c r="S9" s="144"/>
      <c r="T9" s="144" t="s">
        <v>24</v>
      </c>
      <c r="U9" s="144" t="s">
        <v>25</v>
      </c>
    </row>
    <row r="10" spans="1:21" ht="15.5">
      <c r="A10" s="144"/>
      <c r="B10" s="64" t="s">
        <v>7</v>
      </c>
      <c r="C10" s="64" t="s">
        <v>8</v>
      </c>
      <c r="D10" s="146"/>
      <c r="E10" s="144"/>
      <c r="F10" s="64" t="s">
        <v>27</v>
      </c>
      <c r="G10" s="4" t="s">
        <v>28</v>
      </c>
      <c r="H10" s="144"/>
      <c r="I10" s="67" t="s">
        <v>14</v>
      </c>
      <c r="J10" s="64" t="s">
        <v>15</v>
      </c>
      <c r="K10" s="64" t="s">
        <v>16</v>
      </c>
      <c r="L10" s="106" t="s">
        <v>687</v>
      </c>
      <c r="M10" s="105" t="s">
        <v>15</v>
      </c>
      <c r="N10" s="105" t="s">
        <v>16</v>
      </c>
      <c r="O10" s="151"/>
      <c r="P10" s="64" t="s">
        <v>19</v>
      </c>
      <c r="Q10" s="64" t="s">
        <v>20</v>
      </c>
      <c r="R10" s="64" t="s">
        <v>22</v>
      </c>
      <c r="S10" s="64" t="s">
        <v>23</v>
      </c>
      <c r="T10" s="144"/>
      <c r="U10" s="144"/>
    </row>
    <row r="11" spans="1:21" ht="15.5">
      <c r="A11" s="64">
        <v>1</v>
      </c>
      <c r="B11" s="64">
        <f t="shared" ref="B11:K11" si="0">A11+1</f>
        <v>2</v>
      </c>
      <c r="C11" s="64">
        <f t="shared" si="0"/>
        <v>3</v>
      </c>
      <c r="D11" s="65">
        <f t="shared" si="0"/>
        <v>4</v>
      </c>
      <c r="E11" s="64">
        <f t="shared" si="0"/>
        <v>5</v>
      </c>
      <c r="F11" s="64">
        <f t="shared" si="0"/>
        <v>6</v>
      </c>
      <c r="G11" s="4">
        <f t="shared" si="0"/>
        <v>7</v>
      </c>
      <c r="H11" s="64">
        <f t="shared" si="0"/>
        <v>8</v>
      </c>
      <c r="I11" s="65">
        <f t="shared" si="0"/>
        <v>9</v>
      </c>
      <c r="J11" s="64">
        <f t="shared" si="0"/>
        <v>10</v>
      </c>
      <c r="K11" s="64">
        <f t="shared" si="0"/>
        <v>11</v>
      </c>
      <c r="L11" s="105">
        <f t="shared" ref="L11" si="1">K11+1</f>
        <v>12</v>
      </c>
      <c r="M11" s="105">
        <f t="shared" ref="M11" si="2">L11+1</f>
        <v>13</v>
      </c>
      <c r="N11" s="105">
        <f t="shared" ref="N11" si="3">M11+1</f>
        <v>14</v>
      </c>
      <c r="O11" s="105">
        <f t="shared" ref="O11" si="4">N11+1</f>
        <v>15</v>
      </c>
      <c r="P11" s="105">
        <f t="shared" ref="P11" si="5">O11+1</f>
        <v>16</v>
      </c>
      <c r="Q11" s="105">
        <f t="shared" ref="Q11" si="6">P11+1</f>
        <v>17</v>
      </c>
      <c r="R11" s="105">
        <f t="shared" ref="R11" si="7">Q11+1</f>
        <v>18</v>
      </c>
      <c r="S11" s="105">
        <f t="shared" ref="S11" si="8">R11+1</f>
        <v>19</v>
      </c>
      <c r="T11" s="105">
        <f t="shared" ref="T11" si="9">S11+1</f>
        <v>20</v>
      </c>
      <c r="U11" s="105">
        <f t="shared" ref="U11" si="10">T11+1</f>
        <v>21</v>
      </c>
    </row>
    <row r="12" spans="1:21" ht="15.5">
      <c r="A12" s="64">
        <v>1</v>
      </c>
      <c r="B12" s="64">
        <v>220142</v>
      </c>
      <c r="C12" s="18" t="s">
        <v>472</v>
      </c>
      <c r="D12" s="52" t="s">
        <v>352</v>
      </c>
      <c r="E12" s="69" t="s">
        <v>26</v>
      </c>
      <c r="F12" s="64" t="s">
        <v>37</v>
      </c>
      <c r="G12" s="119">
        <v>41761</v>
      </c>
      <c r="H12" s="68" t="s">
        <v>29</v>
      </c>
      <c r="I12" s="52" t="s">
        <v>404</v>
      </c>
      <c r="J12" s="69" t="s">
        <v>38</v>
      </c>
      <c r="K12" s="64" t="s">
        <v>42</v>
      </c>
      <c r="L12" s="5" t="s">
        <v>760</v>
      </c>
      <c r="M12" s="105"/>
      <c r="N12" s="105" t="s">
        <v>656</v>
      </c>
      <c r="O12" s="64" t="s">
        <v>76</v>
      </c>
      <c r="P12" s="64" t="s">
        <v>33</v>
      </c>
      <c r="Q12" s="64" t="s">
        <v>33</v>
      </c>
      <c r="R12" s="10" t="s">
        <v>186</v>
      </c>
      <c r="S12" s="68">
        <v>2022</v>
      </c>
      <c r="T12" s="22" t="s">
        <v>78</v>
      </c>
      <c r="U12" s="69"/>
    </row>
    <row r="13" spans="1:21" ht="15.5">
      <c r="A13" s="92">
        <v>2</v>
      </c>
      <c r="B13" s="14" t="s">
        <v>574</v>
      </c>
      <c r="C13" s="18" t="s">
        <v>473</v>
      </c>
      <c r="D13" s="23" t="s">
        <v>203</v>
      </c>
      <c r="E13" s="19" t="s">
        <v>26</v>
      </c>
      <c r="F13" s="15" t="s">
        <v>37</v>
      </c>
      <c r="G13" s="120">
        <v>41406</v>
      </c>
      <c r="H13" s="68" t="s">
        <v>29</v>
      </c>
      <c r="I13" s="22" t="s">
        <v>204</v>
      </c>
      <c r="J13" s="69" t="s">
        <v>38</v>
      </c>
      <c r="K13" s="64" t="s">
        <v>42</v>
      </c>
      <c r="L13" s="5" t="s">
        <v>768</v>
      </c>
      <c r="M13" s="105"/>
      <c r="N13" s="105" t="s">
        <v>656</v>
      </c>
      <c r="O13" s="64" t="s">
        <v>76</v>
      </c>
      <c r="P13" s="64" t="s">
        <v>33</v>
      </c>
      <c r="Q13" s="64" t="s">
        <v>33</v>
      </c>
      <c r="R13" s="10" t="s">
        <v>376</v>
      </c>
      <c r="S13" s="68">
        <v>2020</v>
      </c>
      <c r="T13" s="23" t="s">
        <v>205</v>
      </c>
      <c r="U13" s="69"/>
    </row>
    <row r="14" spans="1:21" ht="15.5">
      <c r="A14" s="92">
        <v>3</v>
      </c>
      <c r="B14" s="14" t="s">
        <v>575</v>
      </c>
      <c r="C14" s="18" t="s">
        <v>474</v>
      </c>
      <c r="D14" s="23" t="s">
        <v>213</v>
      </c>
      <c r="E14" s="21" t="s">
        <v>30</v>
      </c>
      <c r="F14" s="17" t="s">
        <v>35</v>
      </c>
      <c r="G14" s="120" t="s">
        <v>783</v>
      </c>
      <c r="H14" s="68" t="s">
        <v>29</v>
      </c>
      <c r="I14" s="22" t="s">
        <v>214</v>
      </c>
      <c r="J14" s="69" t="s">
        <v>215</v>
      </c>
      <c r="K14" s="64" t="s">
        <v>41</v>
      </c>
      <c r="L14" s="5" t="s">
        <v>766</v>
      </c>
      <c r="M14" s="105"/>
      <c r="N14" s="105" t="s">
        <v>656</v>
      </c>
      <c r="O14" s="64" t="s">
        <v>76</v>
      </c>
      <c r="P14" s="64" t="s">
        <v>33</v>
      </c>
      <c r="Q14" s="64" t="s">
        <v>33</v>
      </c>
      <c r="R14" s="10" t="s">
        <v>376</v>
      </c>
      <c r="S14" s="68">
        <v>2020</v>
      </c>
      <c r="T14" s="22" t="s">
        <v>78</v>
      </c>
      <c r="U14" s="69"/>
    </row>
    <row r="15" spans="1:21" ht="15.5">
      <c r="A15" s="92">
        <v>4</v>
      </c>
      <c r="B15" s="14" t="s">
        <v>576</v>
      </c>
      <c r="C15" s="18" t="s">
        <v>475</v>
      </c>
      <c r="D15" s="28" t="s">
        <v>191</v>
      </c>
      <c r="E15" s="19" t="s">
        <v>30</v>
      </c>
      <c r="F15" s="33" t="s">
        <v>35</v>
      </c>
      <c r="G15" s="120">
        <v>41924</v>
      </c>
      <c r="H15" s="68" t="s">
        <v>29</v>
      </c>
      <c r="I15" s="28" t="s">
        <v>192</v>
      </c>
      <c r="J15" s="69" t="s">
        <v>40</v>
      </c>
      <c r="K15" s="64" t="s">
        <v>42</v>
      </c>
      <c r="L15" s="5" t="s">
        <v>719</v>
      </c>
      <c r="M15" s="105"/>
      <c r="N15" s="105" t="s">
        <v>656</v>
      </c>
      <c r="O15" s="64" t="s">
        <v>76</v>
      </c>
      <c r="P15" s="64" t="s">
        <v>33</v>
      </c>
      <c r="Q15" s="64" t="s">
        <v>33</v>
      </c>
      <c r="R15" s="10" t="s">
        <v>376</v>
      </c>
      <c r="S15" s="68">
        <v>2020</v>
      </c>
      <c r="T15" s="28" t="s">
        <v>78</v>
      </c>
      <c r="U15" s="69"/>
    </row>
    <row r="16" spans="1:21" ht="15.5">
      <c r="A16" s="92">
        <v>5</v>
      </c>
      <c r="B16" s="14" t="s">
        <v>577</v>
      </c>
      <c r="C16" s="18" t="s">
        <v>470</v>
      </c>
      <c r="D16" s="23" t="s">
        <v>193</v>
      </c>
      <c r="E16" s="19" t="s">
        <v>26</v>
      </c>
      <c r="F16" s="122" t="s">
        <v>37</v>
      </c>
      <c r="G16" s="120">
        <v>41402</v>
      </c>
      <c r="H16" s="68" t="s">
        <v>29</v>
      </c>
      <c r="I16" s="22" t="s">
        <v>194</v>
      </c>
      <c r="J16" s="69" t="s">
        <v>36</v>
      </c>
      <c r="K16" s="64" t="s">
        <v>42</v>
      </c>
      <c r="L16" s="5" t="s">
        <v>724</v>
      </c>
      <c r="M16" s="105"/>
      <c r="N16" s="105" t="s">
        <v>656</v>
      </c>
      <c r="O16" s="64" t="s">
        <v>76</v>
      </c>
      <c r="P16" s="64" t="s">
        <v>33</v>
      </c>
      <c r="Q16" s="64" t="s">
        <v>33</v>
      </c>
      <c r="R16" s="10" t="s">
        <v>376</v>
      </c>
      <c r="S16" s="68">
        <v>2020</v>
      </c>
      <c r="T16" s="23" t="s">
        <v>78</v>
      </c>
      <c r="U16" s="69"/>
    </row>
    <row r="17" spans="1:21" s="75" customFormat="1" ht="15.5">
      <c r="A17" s="4">
        <v>6</v>
      </c>
      <c r="B17" s="70" t="s">
        <v>578</v>
      </c>
      <c r="C17" s="126" t="s">
        <v>461</v>
      </c>
      <c r="D17" s="127" t="s">
        <v>291</v>
      </c>
      <c r="E17" s="20" t="s">
        <v>26</v>
      </c>
      <c r="F17" s="16" t="s">
        <v>37</v>
      </c>
      <c r="G17" s="39" t="s">
        <v>292</v>
      </c>
      <c r="H17" s="128" t="s">
        <v>29</v>
      </c>
      <c r="I17" s="129" t="s">
        <v>295</v>
      </c>
      <c r="J17" s="130" t="s">
        <v>43</v>
      </c>
      <c r="K17" s="4" t="s">
        <v>44</v>
      </c>
      <c r="L17" s="131" t="s">
        <v>769</v>
      </c>
      <c r="M17" s="4"/>
      <c r="N17" s="4" t="s">
        <v>44</v>
      </c>
      <c r="O17" s="4" t="s">
        <v>76</v>
      </c>
      <c r="P17" s="4" t="s">
        <v>33</v>
      </c>
      <c r="Q17" s="4" t="s">
        <v>33</v>
      </c>
      <c r="R17" s="74" t="s">
        <v>517</v>
      </c>
      <c r="S17" s="128">
        <v>2021</v>
      </c>
      <c r="T17" s="127" t="s">
        <v>294</v>
      </c>
      <c r="U17" s="130"/>
    </row>
    <row r="18" spans="1:21" ht="15.5">
      <c r="A18" s="92">
        <v>7</v>
      </c>
      <c r="B18" s="36">
        <v>200062</v>
      </c>
      <c r="C18" s="18" t="s">
        <v>462</v>
      </c>
      <c r="D18" s="23" t="s">
        <v>198</v>
      </c>
      <c r="E18" s="21" t="s">
        <v>26</v>
      </c>
      <c r="F18" s="17" t="s">
        <v>35</v>
      </c>
      <c r="G18" s="121" t="s">
        <v>199</v>
      </c>
      <c r="H18" s="68" t="s">
        <v>29</v>
      </c>
      <c r="I18" s="22" t="s">
        <v>516</v>
      </c>
      <c r="J18" s="69" t="s">
        <v>33</v>
      </c>
      <c r="K18" s="64" t="s">
        <v>33</v>
      </c>
      <c r="L18" s="5" t="s">
        <v>722</v>
      </c>
      <c r="M18" s="105"/>
      <c r="N18" s="105" t="s">
        <v>656</v>
      </c>
      <c r="O18" s="64" t="s">
        <v>76</v>
      </c>
      <c r="P18" s="64" t="s">
        <v>33</v>
      </c>
      <c r="Q18" s="64" t="s">
        <v>33</v>
      </c>
      <c r="R18" s="10" t="s">
        <v>376</v>
      </c>
      <c r="S18" s="68">
        <v>2020</v>
      </c>
      <c r="T18" s="22" t="s">
        <v>149</v>
      </c>
      <c r="U18" s="69"/>
    </row>
    <row r="19" spans="1:21" s="75" customFormat="1" ht="15.5">
      <c r="A19" s="4">
        <v>8</v>
      </c>
      <c r="B19" s="73">
        <v>220141</v>
      </c>
      <c r="C19" s="126" t="s">
        <v>471</v>
      </c>
      <c r="D19" s="127" t="s">
        <v>351</v>
      </c>
      <c r="E19" s="132" t="s">
        <v>26</v>
      </c>
      <c r="F19" s="133" t="s">
        <v>363</v>
      </c>
      <c r="G19" s="31" t="s">
        <v>364</v>
      </c>
      <c r="H19" s="128" t="s">
        <v>29</v>
      </c>
      <c r="I19" s="129" t="s">
        <v>365</v>
      </c>
      <c r="J19" s="130" t="s">
        <v>38</v>
      </c>
      <c r="K19" s="4" t="s">
        <v>42</v>
      </c>
      <c r="L19" s="131" t="s">
        <v>759</v>
      </c>
      <c r="M19" s="4"/>
      <c r="N19" s="4" t="s">
        <v>656</v>
      </c>
      <c r="O19" s="4" t="s">
        <v>76</v>
      </c>
      <c r="P19" s="4" t="s">
        <v>33</v>
      </c>
      <c r="Q19" s="4" t="s">
        <v>33</v>
      </c>
      <c r="R19" s="74" t="s">
        <v>186</v>
      </c>
      <c r="S19" s="128">
        <v>2022</v>
      </c>
      <c r="T19" s="129" t="s">
        <v>366</v>
      </c>
      <c r="U19" s="130"/>
    </row>
    <row r="20" spans="1:21" ht="15.5">
      <c r="A20" s="92">
        <v>9</v>
      </c>
      <c r="B20" s="14" t="s">
        <v>579</v>
      </c>
      <c r="C20" s="18" t="s">
        <v>463</v>
      </c>
      <c r="D20" s="28" t="s">
        <v>206</v>
      </c>
      <c r="E20" s="21" t="s">
        <v>26</v>
      </c>
      <c r="F20" s="17" t="s">
        <v>35</v>
      </c>
      <c r="G20" s="121" t="s">
        <v>207</v>
      </c>
      <c r="H20" s="68" t="s">
        <v>29</v>
      </c>
      <c r="I20" s="28" t="s">
        <v>208</v>
      </c>
      <c r="J20" s="69" t="s">
        <v>38</v>
      </c>
      <c r="K20" s="64" t="s">
        <v>41</v>
      </c>
      <c r="L20" s="5" t="s">
        <v>761</v>
      </c>
      <c r="M20" s="105"/>
      <c r="N20" s="105" t="s">
        <v>656</v>
      </c>
      <c r="O20" s="64" t="s">
        <v>76</v>
      </c>
      <c r="P20" s="64" t="s">
        <v>33</v>
      </c>
      <c r="Q20" s="64" t="s">
        <v>33</v>
      </c>
      <c r="R20" s="10" t="s">
        <v>376</v>
      </c>
      <c r="S20" s="68">
        <v>2020</v>
      </c>
      <c r="T20" s="28" t="s">
        <v>209</v>
      </c>
      <c r="U20" s="69"/>
    </row>
    <row r="21" spans="1:21" s="75" customFormat="1" ht="15.5">
      <c r="A21" s="4">
        <v>10</v>
      </c>
      <c r="B21" s="70" t="s">
        <v>580</v>
      </c>
      <c r="C21" s="126" t="s">
        <v>464</v>
      </c>
      <c r="D21" s="127" t="s">
        <v>296</v>
      </c>
      <c r="E21" s="132" t="s">
        <v>30</v>
      </c>
      <c r="F21" s="133" t="s">
        <v>37</v>
      </c>
      <c r="G21" s="39" t="s">
        <v>784</v>
      </c>
      <c r="H21" s="128" t="s">
        <v>29</v>
      </c>
      <c r="I21" s="129" t="s">
        <v>298</v>
      </c>
      <c r="J21" s="130" t="s">
        <v>36</v>
      </c>
      <c r="K21" s="4" t="s">
        <v>42</v>
      </c>
      <c r="L21" s="131" t="s">
        <v>767</v>
      </c>
      <c r="M21" s="4"/>
      <c r="N21" s="4" t="s">
        <v>656</v>
      </c>
      <c r="O21" s="4" t="s">
        <v>76</v>
      </c>
      <c r="P21" s="4" t="s">
        <v>33</v>
      </c>
      <c r="Q21" s="4" t="s">
        <v>33</v>
      </c>
      <c r="R21" s="74" t="s">
        <v>517</v>
      </c>
      <c r="S21" s="128">
        <v>2021</v>
      </c>
      <c r="T21" s="129" t="s">
        <v>299</v>
      </c>
      <c r="U21" s="130"/>
    </row>
    <row r="22" spans="1:21" ht="15.5">
      <c r="A22" s="92">
        <v>11</v>
      </c>
      <c r="B22" s="14" t="s">
        <v>581</v>
      </c>
      <c r="C22" s="18" t="s">
        <v>465</v>
      </c>
      <c r="D22" s="23" t="s">
        <v>189</v>
      </c>
      <c r="E22" s="20" t="s">
        <v>26</v>
      </c>
      <c r="F22" s="16" t="s">
        <v>35</v>
      </c>
      <c r="G22" s="120" t="s">
        <v>785</v>
      </c>
      <c r="H22" s="68" t="s">
        <v>29</v>
      </c>
      <c r="I22" s="22" t="s">
        <v>190</v>
      </c>
      <c r="J22" s="69" t="s">
        <v>36</v>
      </c>
      <c r="K22" s="64" t="s">
        <v>42</v>
      </c>
      <c r="L22" s="5" t="s">
        <v>763</v>
      </c>
      <c r="M22" s="105"/>
      <c r="N22" s="105" t="s">
        <v>656</v>
      </c>
      <c r="O22" s="64" t="s">
        <v>76</v>
      </c>
      <c r="P22" s="64" t="s">
        <v>33</v>
      </c>
      <c r="Q22" s="64" t="s">
        <v>33</v>
      </c>
      <c r="R22" s="10" t="s">
        <v>376</v>
      </c>
      <c r="S22" s="68">
        <v>2020</v>
      </c>
      <c r="T22" s="23" t="s">
        <v>78</v>
      </c>
      <c r="U22" s="69"/>
    </row>
    <row r="23" spans="1:21" ht="15.5">
      <c r="A23" s="92">
        <v>12</v>
      </c>
      <c r="B23" s="14" t="s">
        <v>582</v>
      </c>
      <c r="C23" s="18" t="s">
        <v>466</v>
      </c>
      <c r="D23" s="28" t="s">
        <v>195</v>
      </c>
      <c r="E23" s="19" t="s">
        <v>30</v>
      </c>
      <c r="F23" s="33" t="s">
        <v>196</v>
      </c>
      <c r="G23" s="120">
        <v>41857</v>
      </c>
      <c r="H23" s="68" t="s">
        <v>29</v>
      </c>
      <c r="I23" s="28" t="s">
        <v>197</v>
      </c>
      <c r="J23" s="69" t="s">
        <v>36</v>
      </c>
      <c r="K23" s="64" t="s">
        <v>42</v>
      </c>
      <c r="L23" s="5" t="s">
        <v>762</v>
      </c>
      <c r="M23" s="105"/>
      <c r="N23" s="105" t="s">
        <v>656</v>
      </c>
      <c r="O23" s="64" t="s">
        <v>76</v>
      </c>
      <c r="P23" s="64" t="s">
        <v>33</v>
      </c>
      <c r="Q23" s="64" t="s">
        <v>33</v>
      </c>
      <c r="R23" s="10" t="s">
        <v>376</v>
      </c>
      <c r="S23" s="68">
        <v>2020</v>
      </c>
      <c r="T23" s="28" t="s">
        <v>78</v>
      </c>
      <c r="U23" s="69"/>
    </row>
    <row r="24" spans="1:21" ht="15.5">
      <c r="A24" s="92">
        <v>13</v>
      </c>
      <c r="B24" s="14" t="s">
        <v>583</v>
      </c>
      <c r="C24" s="18" t="s">
        <v>467</v>
      </c>
      <c r="D24" s="23" t="s">
        <v>210</v>
      </c>
      <c r="E24" s="19" t="s">
        <v>26</v>
      </c>
      <c r="F24" s="15" t="s">
        <v>37</v>
      </c>
      <c r="G24" s="120" t="s">
        <v>786</v>
      </c>
      <c r="H24" s="68" t="s">
        <v>29</v>
      </c>
      <c r="I24" s="22" t="s">
        <v>211</v>
      </c>
      <c r="J24" s="69" t="s">
        <v>38</v>
      </c>
      <c r="K24" s="64" t="s">
        <v>42</v>
      </c>
      <c r="L24" s="5" t="s">
        <v>735</v>
      </c>
      <c r="M24" s="105"/>
      <c r="N24" s="105" t="s">
        <v>656</v>
      </c>
      <c r="O24" s="64" t="s">
        <v>76</v>
      </c>
      <c r="P24" s="64" t="s">
        <v>33</v>
      </c>
      <c r="Q24" s="64" t="s">
        <v>33</v>
      </c>
      <c r="R24" s="10" t="s">
        <v>376</v>
      </c>
      <c r="S24" s="68">
        <v>2020</v>
      </c>
      <c r="T24" s="23" t="s">
        <v>212</v>
      </c>
      <c r="U24" s="69"/>
    </row>
    <row r="25" spans="1:21" ht="15.5">
      <c r="A25" s="92">
        <v>14</v>
      </c>
      <c r="B25" s="14" t="s">
        <v>584</v>
      </c>
      <c r="C25" s="18" t="s">
        <v>468</v>
      </c>
      <c r="D25" s="23" t="s">
        <v>216</v>
      </c>
      <c r="E25" s="19" t="s">
        <v>30</v>
      </c>
      <c r="F25" s="15" t="s">
        <v>35</v>
      </c>
      <c r="G25" s="120" t="s">
        <v>787</v>
      </c>
      <c r="H25" s="68" t="s">
        <v>29</v>
      </c>
      <c r="I25" s="22" t="s">
        <v>217</v>
      </c>
      <c r="J25" s="69" t="s">
        <v>36</v>
      </c>
      <c r="K25" s="64" t="s">
        <v>39</v>
      </c>
      <c r="L25" s="5" t="s">
        <v>764</v>
      </c>
      <c r="M25" s="105"/>
      <c r="N25" s="105" t="s">
        <v>656</v>
      </c>
      <c r="O25" s="64" t="s">
        <v>76</v>
      </c>
      <c r="P25" s="64" t="s">
        <v>33</v>
      </c>
      <c r="Q25" s="64" t="s">
        <v>33</v>
      </c>
      <c r="R25" s="10" t="s">
        <v>376</v>
      </c>
      <c r="S25" s="68">
        <v>2020</v>
      </c>
      <c r="T25" s="23" t="s">
        <v>78</v>
      </c>
      <c r="U25" s="69"/>
    </row>
    <row r="26" spans="1:21" ht="15.5">
      <c r="A26" s="92">
        <v>15</v>
      </c>
      <c r="B26" s="14" t="s">
        <v>585</v>
      </c>
      <c r="C26" s="18" t="s">
        <v>469</v>
      </c>
      <c r="D26" s="23" t="s">
        <v>200</v>
      </c>
      <c r="E26" s="21" t="s">
        <v>30</v>
      </c>
      <c r="F26" s="17" t="s">
        <v>35</v>
      </c>
      <c r="G26" s="121" t="s">
        <v>201</v>
      </c>
      <c r="H26" s="68" t="s">
        <v>29</v>
      </c>
      <c r="I26" s="22" t="s">
        <v>202</v>
      </c>
      <c r="J26" s="69" t="s">
        <v>38</v>
      </c>
      <c r="K26" s="64" t="s">
        <v>39</v>
      </c>
      <c r="L26" s="5" t="s">
        <v>765</v>
      </c>
      <c r="M26" s="105"/>
      <c r="N26" s="105" t="s">
        <v>656</v>
      </c>
      <c r="O26" s="64" t="s">
        <v>76</v>
      </c>
      <c r="P26" s="64" t="s">
        <v>33</v>
      </c>
      <c r="Q26" s="64" t="s">
        <v>33</v>
      </c>
      <c r="R26" s="10" t="s">
        <v>376</v>
      </c>
      <c r="S26" s="68">
        <v>2020</v>
      </c>
      <c r="T26" s="22" t="s">
        <v>78</v>
      </c>
      <c r="U26" s="69"/>
    </row>
    <row r="27" spans="1:21" ht="15.5">
      <c r="A27" s="1"/>
      <c r="B27" s="1"/>
      <c r="C27" s="1"/>
      <c r="D27" s="1"/>
      <c r="E27" s="1"/>
      <c r="F27" s="1"/>
      <c r="G27" s="3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U27" s="1"/>
    </row>
    <row r="28" spans="1:21" ht="15.5">
      <c r="A28" s="1"/>
      <c r="B28" s="66"/>
      <c r="C28" s="1"/>
      <c r="D28" s="1"/>
      <c r="E28" s="1"/>
      <c r="F28" s="1"/>
      <c r="G28" s="3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9"/>
      <c r="T28" s="9"/>
      <c r="U28" s="1"/>
    </row>
    <row r="29" spans="1:21" ht="15.5">
      <c r="A29" s="1"/>
      <c r="B29" s="8" t="s">
        <v>34</v>
      </c>
      <c r="C29" s="1"/>
      <c r="D29" s="1"/>
      <c r="E29" s="1"/>
      <c r="F29" s="1"/>
      <c r="G29" s="3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U29" s="1"/>
    </row>
    <row r="30" spans="1:21" ht="15.5">
      <c r="A30" s="1"/>
      <c r="B30" s="66" t="s">
        <v>26</v>
      </c>
      <c r="C30" s="1">
        <f>COUNTIF($E$12:$E$26, "L")</f>
        <v>9</v>
      </c>
      <c r="D30" s="1"/>
      <c r="E30" s="1"/>
      <c r="F30" s="1"/>
      <c r="G30" s="38"/>
      <c r="H30" s="1"/>
      <c r="I30" s="1"/>
      <c r="J30" s="1"/>
      <c r="K30" s="1"/>
      <c r="L30" s="1"/>
      <c r="M30" s="1"/>
      <c r="N30" s="1"/>
      <c r="O30" s="1"/>
      <c r="P30" s="1"/>
      <c r="Q30" s="1"/>
      <c r="R30" s="9" t="s">
        <v>612</v>
      </c>
      <c r="T30" s="9"/>
      <c r="U30" s="1"/>
    </row>
    <row r="31" spans="1:21" ht="15.5">
      <c r="A31" s="1"/>
      <c r="B31" s="66" t="s">
        <v>31</v>
      </c>
      <c r="C31" s="1">
        <f>COUNTIF($E$12:$E$26, "P")</f>
        <v>6</v>
      </c>
      <c r="D31" s="1"/>
      <c r="E31" s="1"/>
      <c r="F31" s="1"/>
      <c r="G31" s="38"/>
      <c r="H31" s="1"/>
      <c r="I31" s="1"/>
      <c r="J31" s="1"/>
      <c r="K31" s="1"/>
      <c r="L31" s="1"/>
      <c r="M31" s="1"/>
      <c r="N31" s="1"/>
      <c r="O31" s="1"/>
      <c r="P31" s="1"/>
      <c r="Q31" s="1"/>
      <c r="R31" s="1" t="s">
        <v>370</v>
      </c>
      <c r="S31" s="9"/>
      <c r="T31" s="9"/>
      <c r="U31" s="1"/>
    </row>
    <row r="32" spans="1:21" ht="15.5">
      <c r="A32" s="1"/>
      <c r="B32" s="66" t="s">
        <v>32</v>
      </c>
      <c r="C32" s="1">
        <f>C30+C31</f>
        <v>15</v>
      </c>
      <c r="D32" s="1"/>
      <c r="E32" s="1"/>
      <c r="F32" s="1"/>
      <c r="G32" s="38"/>
      <c r="H32" s="1"/>
      <c r="I32" s="1"/>
      <c r="J32" s="1"/>
      <c r="K32" s="1"/>
      <c r="L32" s="1"/>
      <c r="M32" s="1"/>
      <c r="N32" s="1"/>
      <c r="O32" s="1"/>
      <c r="P32" s="1"/>
      <c r="Q32" s="1"/>
      <c r="R32" s="9"/>
      <c r="S32" s="9"/>
      <c r="T32" s="9"/>
      <c r="U32" s="1"/>
    </row>
    <row r="33" spans="1:21" ht="15.5">
      <c r="A33" s="1"/>
      <c r="B33" s="1"/>
      <c r="C33" s="1"/>
      <c r="D33" s="1"/>
      <c r="E33" s="1"/>
      <c r="F33" s="1"/>
      <c r="G33" s="38"/>
      <c r="H33" s="1"/>
      <c r="I33" s="1"/>
      <c r="J33" s="1"/>
      <c r="K33" s="1"/>
      <c r="L33" s="1"/>
      <c r="M33" s="1"/>
      <c r="N33" s="1"/>
      <c r="O33" s="1"/>
      <c r="P33" s="1"/>
      <c r="Q33" s="1"/>
      <c r="R33" s="9"/>
      <c r="S33" s="9"/>
      <c r="T33" s="9"/>
      <c r="U33" s="1"/>
    </row>
    <row r="34" spans="1:21" ht="15.5">
      <c r="A34" s="1"/>
      <c r="B34" s="1"/>
      <c r="C34" s="1"/>
      <c r="D34" s="1"/>
      <c r="E34" s="1"/>
      <c r="F34" s="1"/>
      <c r="G34" s="38"/>
      <c r="H34" s="1"/>
      <c r="I34" s="1"/>
      <c r="J34" s="1"/>
      <c r="K34" s="1"/>
      <c r="L34" s="1"/>
      <c r="M34" s="1"/>
      <c r="N34" s="1"/>
      <c r="O34" s="1"/>
      <c r="P34" s="1"/>
      <c r="Q34" s="1"/>
      <c r="R34" s="9"/>
      <c r="S34" s="9"/>
      <c r="U34" s="1"/>
    </row>
    <row r="35" spans="1:21" ht="15.5">
      <c r="A35" s="1"/>
      <c r="B35" s="1"/>
      <c r="C35" s="1"/>
      <c r="D35" s="1"/>
      <c r="E35" s="1"/>
      <c r="F35" s="1"/>
      <c r="G35" s="38"/>
      <c r="H35" s="1"/>
      <c r="I35" s="1"/>
      <c r="J35" s="1"/>
      <c r="K35" s="1"/>
      <c r="L35" s="1"/>
      <c r="M35" s="1"/>
      <c r="N35" s="1"/>
      <c r="O35" s="1"/>
      <c r="P35" s="1"/>
      <c r="Q35" s="1"/>
      <c r="R35" s="53" t="s">
        <v>371</v>
      </c>
      <c r="T35" s="9"/>
      <c r="U35" s="1"/>
    </row>
    <row r="36" spans="1:21" ht="15.5">
      <c r="R36" s="1" t="s">
        <v>372</v>
      </c>
      <c r="S36" s="9"/>
      <c r="T36" s="9"/>
    </row>
  </sheetData>
  <mergeCells count="14">
    <mergeCell ref="A1:U1"/>
    <mergeCell ref="A2:U2"/>
    <mergeCell ref="A9:A10"/>
    <mergeCell ref="B9:C9"/>
    <mergeCell ref="D9:D10"/>
    <mergeCell ref="E9:E10"/>
    <mergeCell ref="F9:G9"/>
    <mergeCell ref="H9:H10"/>
    <mergeCell ref="O9:O10"/>
    <mergeCell ref="P9:Q9"/>
    <mergeCell ref="R9:S9"/>
    <mergeCell ref="T9:T10"/>
    <mergeCell ref="U9:U10"/>
    <mergeCell ref="I9:N9"/>
  </mergeCells>
  <conditionalFormatting sqref="B13">
    <cfRule type="duplicateValues" dxfId="46" priority="14" stopIfTrue="1"/>
  </conditionalFormatting>
  <conditionalFormatting sqref="B14">
    <cfRule type="duplicateValues" dxfId="45" priority="12" stopIfTrue="1"/>
  </conditionalFormatting>
  <conditionalFormatting sqref="G13:G26">
    <cfRule type="expression" dxfId="44" priority="3" stopIfTrue="1">
      <formula>G13=""</formula>
    </cfRule>
    <cfRule type="expression" dxfId="43" priority="4" stopIfTrue="1">
      <formula>AND(DATEVALUE(G13),G13&lt;&gt;"")</formula>
    </cfRule>
  </conditionalFormatting>
  <conditionalFormatting sqref="G16:G17">
    <cfRule type="expression" dxfId="42" priority="1" stopIfTrue="1">
      <formula>G16=""</formula>
    </cfRule>
    <cfRule type="expression" dxfId="41" priority="2" stopIfTrue="1">
      <formula>AND(DATEVALUE(G16),G16&lt;&gt;"")</formula>
    </cfRule>
  </conditionalFormatting>
  <conditionalFormatting sqref="B16:B17">
    <cfRule type="duplicateValues" dxfId="40" priority="5" stopIfTrue="1"/>
  </conditionalFormatting>
  <conditionalFormatting sqref="B16:B17">
    <cfRule type="duplicateValues" dxfId="39" priority="6" stopIfTrue="1"/>
  </conditionalFormatting>
  <conditionalFormatting sqref="B18:B20 B15">
    <cfRule type="duplicateValues" dxfId="38" priority="155" stopIfTrue="1"/>
  </conditionalFormatting>
  <conditionalFormatting sqref="B18:B26 B15">
    <cfRule type="duplicateValues" dxfId="37" priority="192" stopIfTrue="1"/>
  </conditionalFormatting>
  <dataValidations count="5">
    <dataValidation allowBlank="1" showInputMessage="1" showErrorMessage="1" prompt="(yyyy-mm-dd)_x000a_1996-05-18" sqref="G13:G26" xr:uid="{00000000-0002-0000-0500-000000000000}"/>
    <dataValidation allowBlank="1" showInputMessage="1" showErrorMessage="1" prompt="Tempat Lahir" sqref="F13:F26" xr:uid="{00000000-0002-0000-0500-000001000000}"/>
    <dataValidation type="list" allowBlank="1" showDropDown="1" showInputMessage="1" showErrorMessage="1" error="Gunakan L = Laki-laki, P = Perempuan" prompt="L = Laki-laki_x000a_P = Perempuan" sqref="E13:E26" xr:uid="{00000000-0002-0000-0500-000002000000}">
      <formula1>"L, P,"</formula1>
    </dataValidation>
    <dataValidation allowBlank="1" showInputMessage="1" showErrorMessage="1" prompt="Nomor Induk Siswa" sqref="B13:B26" xr:uid="{00000000-0002-0000-0500-000003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6" xr:uid="{00000000-0002-0000-0500-000004000000}">
      <formula1>"A, B, C, D, E, F, G, H, I, J, K, L,"</formula1>
    </dataValidation>
  </dataValidations>
  <pageMargins left="0.35" right="0.35" top="0.75" bottom="0.75" header="0.3" footer="0.3"/>
  <pageSetup paperSize="20000" scale="65" orientation="landscape" horizontalDpi="4294967293" r:id="rId1"/>
  <ignoredErrors>
    <ignoredError sqref="C13:C26 R12:R16 R22:R26 R20 R18 R17 R19 R21 B14:B2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8"/>
  <sheetViews>
    <sheetView zoomScale="68" zoomScaleNormal="68" workbookViewId="0">
      <selection activeCell="D28" sqref="D28"/>
    </sheetView>
  </sheetViews>
  <sheetFormatPr defaultRowHeight="12.5"/>
  <cols>
    <col min="2" max="2" width="11.54296875" bestFit="1" customWidth="1"/>
    <col min="3" max="3" width="15.453125" customWidth="1"/>
    <col min="4" max="4" width="37.54296875" customWidth="1"/>
    <col min="6" max="6" width="12.453125" bestFit="1" customWidth="1"/>
    <col min="7" max="7" width="12.7265625" style="37" bestFit="1" customWidth="1"/>
    <col min="9" max="9" width="19.26953125" bestFit="1" customWidth="1"/>
    <col min="10" max="10" width="6" bestFit="1" customWidth="1"/>
    <col min="12" max="12" width="16" bestFit="1" customWidth="1"/>
    <col min="17" max="17" width="36.26953125" customWidth="1"/>
  </cols>
  <sheetData>
    <row r="1" spans="1:18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1:18" ht="15.5">
      <c r="A2" s="145" t="s">
        <v>407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18" ht="15.5">
      <c r="A3" s="1"/>
      <c r="B3" s="1"/>
      <c r="C3" s="1"/>
      <c r="D3" s="1"/>
      <c r="E3" s="1"/>
      <c r="F3" s="1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5">
      <c r="A4" s="1" t="s">
        <v>1</v>
      </c>
      <c r="B4" s="1"/>
      <c r="C4" s="1" t="s">
        <v>108</v>
      </c>
      <c r="D4" s="1"/>
      <c r="E4" s="1"/>
      <c r="F4" s="1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5">
      <c r="A5" s="1" t="s">
        <v>2</v>
      </c>
      <c r="B5" s="1"/>
      <c r="C5" s="6" t="s">
        <v>109</v>
      </c>
      <c r="D5" s="6"/>
      <c r="E5" s="1"/>
      <c r="F5" s="1"/>
      <c r="G5" s="38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5">
      <c r="A6" s="1" t="s">
        <v>3</v>
      </c>
      <c r="B6" s="1"/>
      <c r="C6" s="1" t="s">
        <v>353</v>
      </c>
      <c r="D6" s="1"/>
      <c r="E6" s="1"/>
      <c r="F6" s="1"/>
      <c r="G6" s="38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>
      <c r="A7" s="1" t="s">
        <v>4</v>
      </c>
      <c r="B7" s="1"/>
      <c r="C7" s="1" t="s">
        <v>110</v>
      </c>
      <c r="D7" s="1"/>
      <c r="E7" s="1"/>
      <c r="F7" s="1"/>
      <c r="G7" s="38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>
      <c r="A8" s="1"/>
      <c r="B8" s="1"/>
      <c r="C8" s="1"/>
      <c r="D8" s="1"/>
      <c r="E8" s="1"/>
      <c r="F8" s="1"/>
      <c r="G8" s="38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5">
      <c r="A9" s="144" t="s">
        <v>5</v>
      </c>
      <c r="B9" s="144" t="s">
        <v>6</v>
      </c>
      <c r="C9" s="144"/>
      <c r="D9" s="146" t="s">
        <v>9</v>
      </c>
      <c r="E9" s="144" t="s">
        <v>10</v>
      </c>
      <c r="F9" s="146" t="s">
        <v>11</v>
      </c>
      <c r="G9" s="146"/>
      <c r="H9" s="144" t="s">
        <v>12</v>
      </c>
      <c r="I9" s="144" t="s">
        <v>13</v>
      </c>
      <c r="J9" s="144"/>
      <c r="K9" s="144"/>
      <c r="L9" s="150" t="s">
        <v>17</v>
      </c>
      <c r="M9" s="144" t="s">
        <v>18</v>
      </c>
      <c r="N9" s="144"/>
      <c r="O9" s="144" t="s">
        <v>21</v>
      </c>
      <c r="P9" s="144"/>
      <c r="Q9" s="144" t="s">
        <v>24</v>
      </c>
      <c r="R9" s="144" t="s">
        <v>25</v>
      </c>
    </row>
    <row r="10" spans="1:18" ht="15.5">
      <c r="A10" s="144"/>
      <c r="B10" s="2" t="s">
        <v>7</v>
      </c>
      <c r="C10" s="2" t="s">
        <v>8</v>
      </c>
      <c r="D10" s="146"/>
      <c r="E10" s="144"/>
      <c r="F10" s="2" t="s">
        <v>27</v>
      </c>
      <c r="G10" s="4" t="s">
        <v>28</v>
      </c>
      <c r="H10" s="144"/>
      <c r="I10" s="26" t="s">
        <v>14</v>
      </c>
      <c r="J10" s="2" t="s">
        <v>15</v>
      </c>
      <c r="K10" s="2" t="s">
        <v>16</v>
      </c>
      <c r="L10" s="151"/>
      <c r="M10" s="2" t="s">
        <v>19</v>
      </c>
      <c r="N10" s="2" t="s">
        <v>20</v>
      </c>
      <c r="O10" s="2" t="s">
        <v>22</v>
      </c>
      <c r="P10" s="2" t="s">
        <v>23</v>
      </c>
      <c r="Q10" s="144"/>
      <c r="R10" s="144"/>
    </row>
    <row r="11" spans="1:18" ht="15.5">
      <c r="A11" s="2">
        <v>1</v>
      </c>
      <c r="B11" s="2">
        <f t="shared" ref="B11:N11" si="0">A11+1</f>
        <v>2</v>
      </c>
      <c r="C11" s="2">
        <f t="shared" si="0"/>
        <v>3</v>
      </c>
      <c r="D11" s="11">
        <f t="shared" si="0"/>
        <v>4</v>
      </c>
      <c r="E11" s="2">
        <f t="shared" si="0"/>
        <v>5</v>
      </c>
      <c r="F11" s="2">
        <f t="shared" si="0"/>
        <v>6</v>
      </c>
      <c r="G11" s="4">
        <f t="shared" si="0"/>
        <v>7</v>
      </c>
      <c r="H11" s="2">
        <f t="shared" si="0"/>
        <v>8</v>
      </c>
      <c r="I11" s="11">
        <f t="shared" si="0"/>
        <v>9</v>
      </c>
      <c r="J11" s="2">
        <f t="shared" si="0"/>
        <v>10</v>
      </c>
      <c r="K11" s="2">
        <f t="shared" si="0"/>
        <v>11</v>
      </c>
      <c r="L11" s="2">
        <f t="shared" si="0"/>
        <v>12</v>
      </c>
      <c r="M11" s="2">
        <f t="shared" si="0"/>
        <v>13</v>
      </c>
      <c r="N11" s="2">
        <f t="shared" si="0"/>
        <v>14</v>
      </c>
      <c r="O11" s="10" t="s">
        <v>406</v>
      </c>
      <c r="P11" s="2">
        <f>O11+1</f>
        <v>16</v>
      </c>
      <c r="Q11" s="11">
        <f>P11+1</f>
        <v>17</v>
      </c>
      <c r="R11" s="2">
        <f>Q11+1</f>
        <v>18</v>
      </c>
    </row>
    <row r="12" spans="1:18" ht="15.5">
      <c r="A12" s="2">
        <v>1</v>
      </c>
      <c r="B12" s="14" t="s">
        <v>586</v>
      </c>
      <c r="C12" s="18" t="s">
        <v>453</v>
      </c>
      <c r="D12" s="138" t="s">
        <v>162</v>
      </c>
      <c r="E12" s="21" t="s">
        <v>26</v>
      </c>
      <c r="F12" s="17" t="s">
        <v>35</v>
      </c>
      <c r="G12" s="31" t="s">
        <v>163</v>
      </c>
      <c r="H12" s="12" t="s">
        <v>29</v>
      </c>
      <c r="I12" s="22" t="s">
        <v>164</v>
      </c>
      <c r="J12" s="13" t="s">
        <v>36</v>
      </c>
      <c r="K12" s="2" t="s">
        <v>39</v>
      </c>
      <c r="L12" s="2" t="s">
        <v>76</v>
      </c>
      <c r="M12" s="2" t="s">
        <v>33</v>
      </c>
      <c r="N12" s="2" t="s">
        <v>33</v>
      </c>
      <c r="O12" s="10" t="s">
        <v>376</v>
      </c>
      <c r="P12" s="12">
        <v>2019</v>
      </c>
      <c r="Q12" s="22" t="s">
        <v>78</v>
      </c>
      <c r="R12" s="13"/>
    </row>
    <row r="13" spans="1:18" ht="15.5">
      <c r="A13" s="2">
        <v>2</v>
      </c>
      <c r="B13" s="14" t="s">
        <v>587</v>
      </c>
      <c r="C13" s="18" t="s">
        <v>454</v>
      </c>
      <c r="D13" s="23" t="s">
        <v>142</v>
      </c>
      <c r="E13" s="19" t="s">
        <v>26</v>
      </c>
      <c r="F13" s="15" t="s">
        <v>35</v>
      </c>
      <c r="G13" s="39">
        <v>41470</v>
      </c>
      <c r="H13" s="12" t="s">
        <v>29</v>
      </c>
      <c r="I13" s="22" t="s">
        <v>143</v>
      </c>
      <c r="J13" s="13" t="s">
        <v>36</v>
      </c>
      <c r="K13" s="2" t="s">
        <v>42</v>
      </c>
      <c r="L13" s="2" t="s">
        <v>76</v>
      </c>
      <c r="M13" s="2" t="s">
        <v>33</v>
      </c>
      <c r="N13" s="2" t="s">
        <v>33</v>
      </c>
      <c r="O13" s="10" t="s">
        <v>376</v>
      </c>
      <c r="P13" s="12">
        <v>2019</v>
      </c>
      <c r="Q13" s="23" t="s">
        <v>78</v>
      </c>
      <c r="R13" s="13"/>
    </row>
    <row r="14" spans="1:18" ht="15.5">
      <c r="A14" s="2">
        <v>3</v>
      </c>
      <c r="B14" s="14" t="s">
        <v>588</v>
      </c>
      <c r="C14" s="18" t="s">
        <v>455</v>
      </c>
      <c r="D14" s="135" t="s">
        <v>176</v>
      </c>
      <c r="E14" s="21" t="s">
        <v>26</v>
      </c>
      <c r="F14" s="17" t="s">
        <v>177</v>
      </c>
      <c r="G14" s="31" t="s">
        <v>178</v>
      </c>
      <c r="H14" s="12" t="s">
        <v>29</v>
      </c>
      <c r="I14" s="28" t="s">
        <v>179</v>
      </c>
      <c r="J14" s="13" t="s">
        <v>38</v>
      </c>
      <c r="K14" s="2" t="s">
        <v>180</v>
      </c>
      <c r="L14" s="2" t="s">
        <v>76</v>
      </c>
      <c r="M14" s="2"/>
      <c r="N14" s="2"/>
      <c r="O14" s="10" t="s">
        <v>376</v>
      </c>
      <c r="P14" s="12">
        <v>2019</v>
      </c>
      <c r="Q14" s="28" t="s">
        <v>78</v>
      </c>
      <c r="R14" s="13"/>
    </row>
    <row r="15" spans="1:18" ht="15.5">
      <c r="A15" s="2">
        <v>4</v>
      </c>
      <c r="B15" s="14" t="s">
        <v>589</v>
      </c>
      <c r="C15" s="18" t="s">
        <v>456</v>
      </c>
      <c r="D15" s="23" t="s">
        <v>150</v>
      </c>
      <c r="E15" s="20" t="s">
        <v>30</v>
      </c>
      <c r="F15" s="16" t="s">
        <v>37</v>
      </c>
      <c r="G15" s="39">
        <v>41339</v>
      </c>
      <c r="H15" s="12" t="s">
        <v>29</v>
      </c>
      <c r="I15" s="22" t="s">
        <v>151</v>
      </c>
      <c r="J15" s="13" t="s">
        <v>40</v>
      </c>
      <c r="K15" s="2" t="s">
        <v>39</v>
      </c>
      <c r="L15" s="2" t="s">
        <v>76</v>
      </c>
      <c r="M15" s="2" t="s">
        <v>33</v>
      </c>
      <c r="N15" s="2" t="s">
        <v>33</v>
      </c>
      <c r="O15" s="10" t="s">
        <v>376</v>
      </c>
      <c r="P15" s="12">
        <v>2019</v>
      </c>
      <c r="Q15" s="23" t="s">
        <v>152</v>
      </c>
      <c r="R15" s="13"/>
    </row>
    <row r="16" spans="1:18" s="29" customFormat="1" ht="15.5">
      <c r="A16" s="2">
        <v>5</v>
      </c>
      <c r="B16" s="14" t="s">
        <v>590</v>
      </c>
      <c r="C16" s="18" t="s">
        <v>457</v>
      </c>
      <c r="D16" s="135" t="s">
        <v>452</v>
      </c>
      <c r="E16" s="19" t="s">
        <v>30</v>
      </c>
      <c r="F16" s="33" t="s">
        <v>37</v>
      </c>
      <c r="G16" s="39">
        <v>41337</v>
      </c>
      <c r="H16" s="12" t="s">
        <v>29</v>
      </c>
      <c r="I16" s="28" t="s">
        <v>145</v>
      </c>
      <c r="J16" s="13" t="s">
        <v>38</v>
      </c>
      <c r="K16" s="2" t="s">
        <v>42</v>
      </c>
      <c r="L16" s="2" t="s">
        <v>76</v>
      </c>
      <c r="M16" s="2" t="s">
        <v>33</v>
      </c>
      <c r="N16" s="2" t="s">
        <v>33</v>
      </c>
      <c r="O16" s="10" t="s">
        <v>376</v>
      </c>
      <c r="P16" s="12">
        <v>2019</v>
      </c>
      <c r="Q16" s="28" t="s">
        <v>146</v>
      </c>
      <c r="R16" s="13"/>
    </row>
    <row r="17" spans="1:18" s="29" customFormat="1" ht="15.5">
      <c r="A17" s="2">
        <v>6</v>
      </c>
      <c r="B17" s="14" t="s">
        <v>591</v>
      </c>
      <c r="C17" s="18" t="s">
        <v>458</v>
      </c>
      <c r="D17" s="135" t="s">
        <v>289</v>
      </c>
      <c r="E17" s="19" t="s">
        <v>26</v>
      </c>
      <c r="F17" s="33" t="s">
        <v>37</v>
      </c>
      <c r="G17" s="39" t="s">
        <v>290</v>
      </c>
      <c r="H17" s="12" t="s">
        <v>29</v>
      </c>
      <c r="I17" s="28" t="s">
        <v>270</v>
      </c>
      <c r="J17" s="13" t="s">
        <v>40</v>
      </c>
      <c r="K17" s="2" t="s">
        <v>42</v>
      </c>
      <c r="L17" s="2" t="s">
        <v>76</v>
      </c>
      <c r="M17" s="2" t="s">
        <v>33</v>
      </c>
      <c r="N17" s="2" t="s">
        <v>33</v>
      </c>
      <c r="O17" s="10" t="s">
        <v>186</v>
      </c>
      <c r="P17" s="12">
        <v>2021</v>
      </c>
      <c r="Q17" s="28" t="s">
        <v>78</v>
      </c>
      <c r="R17" s="13"/>
    </row>
    <row r="18" spans="1:18" s="29" customFormat="1" ht="15.5">
      <c r="A18" s="2">
        <v>7</v>
      </c>
      <c r="B18" s="14" t="s">
        <v>592</v>
      </c>
      <c r="C18" s="18" t="s">
        <v>459</v>
      </c>
      <c r="D18" s="28" t="s">
        <v>144</v>
      </c>
      <c r="E18" s="19" t="s">
        <v>26</v>
      </c>
      <c r="F18" s="33" t="s">
        <v>37</v>
      </c>
      <c r="G18" s="39">
        <v>41346</v>
      </c>
      <c r="H18" s="12" t="s">
        <v>29</v>
      </c>
      <c r="I18" s="28" t="s">
        <v>145</v>
      </c>
      <c r="J18" s="13" t="s">
        <v>38</v>
      </c>
      <c r="K18" s="2" t="s">
        <v>42</v>
      </c>
      <c r="L18" s="2" t="s">
        <v>76</v>
      </c>
      <c r="M18" s="2" t="s">
        <v>33</v>
      </c>
      <c r="N18" s="2" t="s">
        <v>33</v>
      </c>
      <c r="O18" s="10" t="s">
        <v>376</v>
      </c>
      <c r="P18" s="12">
        <v>2019</v>
      </c>
      <c r="Q18" s="28" t="s">
        <v>146</v>
      </c>
      <c r="R18" s="13"/>
    </row>
    <row r="19" spans="1:18" ht="15.5">
      <c r="A19" s="2">
        <v>8</v>
      </c>
      <c r="B19" s="14" t="s">
        <v>593</v>
      </c>
      <c r="C19" s="18" t="s">
        <v>460</v>
      </c>
      <c r="D19" s="138" t="s">
        <v>165</v>
      </c>
      <c r="E19" s="21" t="s">
        <v>26</v>
      </c>
      <c r="F19" s="17" t="s">
        <v>35</v>
      </c>
      <c r="G19" s="31" t="s">
        <v>166</v>
      </c>
      <c r="H19" s="12" t="s">
        <v>29</v>
      </c>
      <c r="I19" s="22" t="s">
        <v>167</v>
      </c>
      <c r="J19" s="13" t="s">
        <v>38</v>
      </c>
      <c r="K19" s="2" t="s">
        <v>42</v>
      </c>
      <c r="L19" s="2" t="s">
        <v>76</v>
      </c>
      <c r="M19" s="2" t="s">
        <v>33</v>
      </c>
      <c r="N19" s="2" t="s">
        <v>33</v>
      </c>
      <c r="O19" s="10" t="s">
        <v>376</v>
      </c>
      <c r="P19" s="12">
        <v>2019</v>
      </c>
      <c r="Q19" s="22" t="s">
        <v>78</v>
      </c>
      <c r="R19" s="13"/>
    </row>
    <row r="20" spans="1:18" ht="15.5">
      <c r="A20" s="2">
        <v>9</v>
      </c>
      <c r="B20" s="14" t="s">
        <v>594</v>
      </c>
      <c r="C20" s="18" t="s">
        <v>449</v>
      </c>
      <c r="D20" s="23" t="s">
        <v>405</v>
      </c>
      <c r="E20" s="21" t="s">
        <v>30</v>
      </c>
      <c r="F20" s="17" t="s">
        <v>37</v>
      </c>
      <c r="G20" s="31" t="s">
        <v>514</v>
      </c>
      <c r="H20" s="90" t="s">
        <v>29</v>
      </c>
      <c r="I20" s="22" t="s">
        <v>401</v>
      </c>
      <c r="J20" s="13" t="s">
        <v>38</v>
      </c>
      <c r="K20" s="2" t="s">
        <v>42</v>
      </c>
      <c r="L20" s="2" t="s">
        <v>76</v>
      </c>
      <c r="M20" s="89" t="s">
        <v>33</v>
      </c>
      <c r="N20" s="89" t="s">
        <v>33</v>
      </c>
      <c r="O20" s="10" t="s">
        <v>350</v>
      </c>
      <c r="P20" s="12">
        <v>2023</v>
      </c>
      <c r="Q20" s="22" t="s">
        <v>515</v>
      </c>
      <c r="R20" s="13"/>
    </row>
    <row r="21" spans="1:18" ht="15.5">
      <c r="A21" s="2">
        <v>10</v>
      </c>
      <c r="B21" s="14" t="s">
        <v>595</v>
      </c>
      <c r="C21" s="18" t="s">
        <v>448</v>
      </c>
      <c r="D21" s="138" t="s">
        <v>168</v>
      </c>
      <c r="E21" s="21" t="s">
        <v>26</v>
      </c>
      <c r="F21" s="17" t="s">
        <v>37</v>
      </c>
      <c r="G21" s="31" t="s">
        <v>169</v>
      </c>
      <c r="H21" s="12" t="s">
        <v>29</v>
      </c>
      <c r="I21" s="22" t="s">
        <v>170</v>
      </c>
      <c r="J21" s="13" t="s">
        <v>38</v>
      </c>
      <c r="K21" s="2" t="s">
        <v>39</v>
      </c>
      <c r="L21" s="2" t="s">
        <v>76</v>
      </c>
      <c r="M21" s="2" t="s">
        <v>33</v>
      </c>
      <c r="N21" s="2" t="s">
        <v>33</v>
      </c>
      <c r="O21" s="10" t="s">
        <v>376</v>
      </c>
      <c r="P21" s="12">
        <v>2019</v>
      </c>
      <c r="Q21" s="22" t="s">
        <v>171</v>
      </c>
      <c r="R21" s="13"/>
    </row>
    <row r="22" spans="1:18" ht="15.5">
      <c r="A22" s="2">
        <v>11</v>
      </c>
      <c r="B22" s="14" t="s">
        <v>596</v>
      </c>
      <c r="C22" s="18" t="s">
        <v>447</v>
      </c>
      <c r="D22" s="23" t="s">
        <v>139</v>
      </c>
      <c r="E22" s="19" t="s">
        <v>26</v>
      </c>
      <c r="F22" s="15" t="s">
        <v>37</v>
      </c>
      <c r="G22" s="39">
        <v>41439</v>
      </c>
      <c r="H22" s="12" t="s">
        <v>29</v>
      </c>
      <c r="I22" s="22" t="s">
        <v>140</v>
      </c>
      <c r="J22" s="13" t="s">
        <v>38</v>
      </c>
      <c r="K22" s="2" t="s">
        <v>42</v>
      </c>
      <c r="L22" s="2" t="s">
        <v>76</v>
      </c>
      <c r="M22" s="2" t="s">
        <v>33</v>
      </c>
      <c r="N22" s="2" t="s">
        <v>33</v>
      </c>
      <c r="O22" s="10" t="s">
        <v>376</v>
      </c>
      <c r="P22" s="12">
        <v>2019</v>
      </c>
      <c r="Q22" s="23" t="s">
        <v>141</v>
      </c>
      <c r="R22" s="13"/>
    </row>
    <row r="23" spans="1:18" ht="15.5">
      <c r="A23" s="2">
        <v>12</v>
      </c>
      <c r="B23" s="14" t="s">
        <v>597</v>
      </c>
      <c r="C23" s="18" t="s">
        <v>446</v>
      </c>
      <c r="D23" s="138" t="s">
        <v>156</v>
      </c>
      <c r="E23" s="21" t="s">
        <v>26</v>
      </c>
      <c r="F23" s="17" t="s">
        <v>37</v>
      </c>
      <c r="G23" s="31" t="s">
        <v>157</v>
      </c>
      <c r="H23" s="12" t="s">
        <v>29</v>
      </c>
      <c r="I23" s="22" t="s">
        <v>158</v>
      </c>
      <c r="J23" s="13" t="s">
        <v>40</v>
      </c>
      <c r="K23" s="2" t="s">
        <v>42</v>
      </c>
      <c r="L23" s="2" t="s">
        <v>76</v>
      </c>
      <c r="M23" s="2" t="s">
        <v>33</v>
      </c>
      <c r="N23" s="2" t="s">
        <v>33</v>
      </c>
      <c r="O23" s="10" t="s">
        <v>376</v>
      </c>
      <c r="P23" s="12">
        <v>2019</v>
      </c>
      <c r="Q23" s="22" t="s">
        <v>159</v>
      </c>
      <c r="R23" s="13"/>
    </row>
    <row r="24" spans="1:18" ht="15.5">
      <c r="A24" s="2">
        <v>13</v>
      </c>
      <c r="B24" s="14" t="s">
        <v>598</v>
      </c>
      <c r="C24" s="18" t="s">
        <v>445</v>
      </c>
      <c r="D24" s="28" t="s">
        <v>172</v>
      </c>
      <c r="E24" s="21" t="s">
        <v>30</v>
      </c>
      <c r="F24" s="17" t="s">
        <v>37</v>
      </c>
      <c r="G24" s="31" t="s">
        <v>173</v>
      </c>
      <c r="H24" s="12" t="s">
        <v>29</v>
      </c>
      <c r="I24" s="28" t="s">
        <v>174</v>
      </c>
      <c r="J24" s="13" t="s">
        <v>40</v>
      </c>
      <c r="K24" s="2" t="s">
        <v>42</v>
      </c>
      <c r="L24" s="2" t="s">
        <v>76</v>
      </c>
      <c r="M24" s="2" t="s">
        <v>33</v>
      </c>
      <c r="N24" s="2" t="s">
        <v>33</v>
      </c>
      <c r="O24" s="10" t="s">
        <v>376</v>
      </c>
      <c r="P24" s="12">
        <v>2019</v>
      </c>
      <c r="Q24" s="28" t="s">
        <v>175</v>
      </c>
      <c r="R24" s="13"/>
    </row>
    <row r="25" spans="1:18" ht="15.5">
      <c r="A25" s="2">
        <v>14</v>
      </c>
      <c r="B25" s="14" t="s">
        <v>599</v>
      </c>
      <c r="C25" s="18" t="s">
        <v>444</v>
      </c>
      <c r="D25" s="23" t="s">
        <v>147</v>
      </c>
      <c r="E25" s="19" t="s">
        <v>30</v>
      </c>
      <c r="F25" s="15" t="s">
        <v>35</v>
      </c>
      <c r="G25" s="39">
        <v>41288</v>
      </c>
      <c r="H25" s="12" t="s">
        <v>29</v>
      </c>
      <c r="I25" s="22" t="s">
        <v>148</v>
      </c>
      <c r="J25" s="13" t="s">
        <v>40</v>
      </c>
      <c r="K25" s="2" t="s">
        <v>42</v>
      </c>
      <c r="L25" s="2" t="s">
        <v>76</v>
      </c>
      <c r="M25" s="2" t="s">
        <v>33</v>
      </c>
      <c r="N25" s="2" t="s">
        <v>33</v>
      </c>
      <c r="O25" s="10" t="s">
        <v>376</v>
      </c>
      <c r="P25" s="12">
        <v>2019</v>
      </c>
      <c r="Q25" s="23" t="s">
        <v>149</v>
      </c>
      <c r="R25" s="13"/>
    </row>
    <row r="26" spans="1:18" ht="15.5">
      <c r="A26" s="2">
        <v>15</v>
      </c>
      <c r="B26" s="14" t="s">
        <v>600</v>
      </c>
      <c r="C26" s="18" t="s">
        <v>443</v>
      </c>
      <c r="D26" s="23" t="s">
        <v>285</v>
      </c>
      <c r="E26" s="19" t="s">
        <v>30</v>
      </c>
      <c r="F26" s="15" t="s">
        <v>286</v>
      </c>
      <c r="G26" s="39">
        <v>40943</v>
      </c>
      <c r="H26" s="12" t="s">
        <v>29</v>
      </c>
      <c r="I26" s="22" t="s">
        <v>287</v>
      </c>
      <c r="J26" s="13" t="s">
        <v>38</v>
      </c>
      <c r="K26" s="2" t="s">
        <v>42</v>
      </c>
      <c r="L26" s="2" t="s">
        <v>76</v>
      </c>
      <c r="M26" s="2" t="s">
        <v>33</v>
      </c>
      <c r="N26" s="2" t="s">
        <v>33</v>
      </c>
      <c r="O26" s="10" t="s">
        <v>186</v>
      </c>
      <c r="P26" s="12">
        <v>2021</v>
      </c>
      <c r="Q26" s="23" t="s">
        <v>288</v>
      </c>
      <c r="R26" s="13"/>
    </row>
    <row r="27" spans="1:18" s="29" customFormat="1" ht="15.5">
      <c r="A27" s="2">
        <v>16</v>
      </c>
      <c r="B27" s="14" t="s">
        <v>601</v>
      </c>
      <c r="C27" s="18" t="s">
        <v>442</v>
      </c>
      <c r="D27" s="23" t="s">
        <v>160</v>
      </c>
      <c r="E27" s="21" t="s">
        <v>30</v>
      </c>
      <c r="F27" s="17" t="s">
        <v>35</v>
      </c>
      <c r="G27" s="31" t="s">
        <v>542</v>
      </c>
      <c r="H27" s="12" t="s">
        <v>29</v>
      </c>
      <c r="I27" s="22" t="s">
        <v>161</v>
      </c>
      <c r="J27" s="13" t="s">
        <v>36</v>
      </c>
      <c r="K27" s="2" t="s">
        <v>42</v>
      </c>
      <c r="L27" s="2" t="s">
        <v>76</v>
      </c>
      <c r="M27" s="2" t="s">
        <v>33</v>
      </c>
      <c r="N27" s="2" t="s">
        <v>33</v>
      </c>
      <c r="O27" s="10" t="s">
        <v>376</v>
      </c>
      <c r="P27" s="12">
        <v>2019</v>
      </c>
      <c r="Q27" s="22" t="s">
        <v>78</v>
      </c>
      <c r="R27" s="13"/>
    </row>
    <row r="28" spans="1:18" s="29" customFormat="1" ht="15.5">
      <c r="A28" s="2">
        <v>17</v>
      </c>
      <c r="B28" s="14" t="s">
        <v>602</v>
      </c>
      <c r="C28" s="18" t="s">
        <v>441</v>
      </c>
      <c r="D28" s="138" t="s">
        <v>153</v>
      </c>
      <c r="E28" s="21" t="s">
        <v>26</v>
      </c>
      <c r="F28" s="17" t="s">
        <v>37</v>
      </c>
      <c r="G28" s="39">
        <v>41465</v>
      </c>
      <c r="H28" s="12" t="s">
        <v>29</v>
      </c>
      <c r="I28" s="22" t="s">
        <v>154</v>
      </c>
      <c r="J28" s="13" t="s">
        <v>40</v>
      </c>
      <c r="K28" s="2" t="s">
        <v>42</v>
      </c>
      <c r="L28" s="2" t="s">
        <v>76</v>
      </c>
      <c r="M28" s="2" t="s">
        <v>33</v>
      </c>
      <c r="N28" s="2" t="s">
        <v>33</v>
      </c>
      <c r="O28" s="10" t="s">
        <v>376</v>
      </c>
      <c r="P28" s="12">
        <v>2019</v>
      </c>
      <c r="Q28" s="22" t="s">
        <v>155</v>
      </c>
      <c r="R28" s="13"/>
    </row>
    <row r="29" spans="1:18" ht="15.5">
      <c r="A29" s="1"/>
      <c r="B29" s="1"/>
      <c r="C29" s="1"/>
      <c r="D29" s="1"/>
      <c r="E29" s="1"/>
      <c r="F29" s="1"/>
      <c r="G29" s="38"/>
      <c r="H29" s="1"/>
      <c r="I29" s="1"/>
      <c r="J29" s="1"/>
      <c r="K29" s="1"/>
      <c r="L29" s="1"/>
      <c r="M29" s="1"/>
      <c r="N29" s="1"/>
      <c r="O29" s="1"/>
      <c r="R29" s="1"/>
    </row>
    <row r="30" spans="1:18" ht="15.5">
      <c r="A30" s="1"/>
      <c r="B30" s="7"/>
      <c r="C30" s="1"/>
      <c r="D30" s="1"/>
      <c r="E30" s="1"/>
      <c r="F30" s="1"/>
      <c r="G30" s="38"/>
      <c r="H30" s="1"/>
      <c r="I30" s="1"/>
      <c r="J30" s="1"/>
      <c r="K30" s="1"/>
      <c r="L30" s="1"/>
      <c r="M30" s="1"/>
      <c r="N30" s="1"/>
      <c r="O30" s="1"/>
      <c r="P30" s="9"/>
      <c r="Q30" s="9"/>
      <c r="R30" s="1"/>
    </row>
    <row r="31" spans="1:18" ht="15.5">
      <c r="A31" s="1"/>
      <c r="B31" s="8" t="s">
        <v>34</v>
      </c>
      <c r="C31" s="1"/>
      <c r="D31" s="1"/>
      <c r="E31" s="1"/>
      <c r="F31" s="1"/>
      <c r="G31" s="38"/>
      <c r="H31" s="1"/>
      <c r="I31" s="1"/>
      <c r="J31" s="1"/>
      <c r="K31" s="1"/>
      <c r="L31" s="1"/>
      <c r="M31" s="1"/>
      <c r="N31" s="1"/>
      <c r="O31" s="9" t="s">
        <v>436</v>
      </c>
      <c r="P31" s="55"/>
      <c r="Q31" s="9"/>
      <c r="R31" s="1"/>
    </row>
    <row r="32" spans="1:18" ht="15.5">
      <c r="A32" s="1"/>
      <c r="B32" s="7" t="s">
        <v>26</v>
      </c>
      <c r="C32" s="1" t="s">
        <v>348</v>
      </c>
      <c r="D32" s="1"/>
      <c r="E32" s="1"/>
      <c r="F32" s="1"/>
      <c r="G32" s="38"/>
      <c r="H32" s="1"/>
      <c r="I32" s="1"/>
      <c r="J32" s="1"/>
      <c r="K32" s="1"/>
      <c r="L32" s="1"/>
      <c r="M32" s="1"/>
      <c r="N32" s="1"/>
      <c r="O32" s="55" t="s">
        <v>370</v>
      </c>
      <c r="P32" s="9"/>
      <c r="Q32" s="9"/>
      <c r="R32" s="1"/>
    </row>
    <row r="33" spans="1:18" ht="15.75" customHeight="1">
      <c r="A33" s="1"/>
      <c r="B33" s="7" t="s">
        <v>31</v>
      </c>
      <c r="C33" s="1" t="s">
        <v>184</v>
      </c>
      <c r="D33" s="1"/>
      <c r="E33" s="1"/>
      <c r="F33" s="1"/>
      <c r="G33" s="38"/>
      <c r="H33" s="1"/>
      <c r="I33" s="1"/>
      <c r="J33" s="1"/>
      <c r="K33" s="1"/>
      <c r="L33" s="1"/>
      <c r="M33" s="1"/>
      <c r="N33" s="1"/>
      <c r="O33" s="9"/>
      <c r="P33" s="9"/>
      <c r="Q33" s="9"/>
      <c r="R33" s="1"/>
    </row>
    <row r="34" spans="1:18" ht="15.75" customHeight="1">
      <c r="A34" s="1"/>
      <c r="B34" s="7" t="s">
        <v>32</v>
      </c>
      <c r="C34" s="1" t="s">
        <v>355</v>
      </c>
      <c r="D34" s="1"/>
      <c r="E34" s="1"/>
      <c r="F34" s="1"/>
      <c r="G34" s="38"/>
      <c r="H34" s="1"/>
      <c r="I34" s="1"/>
      <c r="J34" s="1"/>
      <c r="K34" s="1"/>
      <c r="L34" s="1"/>
      <c r="M34" s="1"/>
      <c r="N34" s="1"/>
      <c r="O34" s="9"/>
      <c r="P34" s="9"/>
      <c r="Q34" s="9"/>
      <c r="R34" s="1"/>
    </row>
    <row r="35" spans="1:18" ht="17.25" customHeight="1">
      <c r="A35" s="1"/>
      <c r="B35" s="1"/>
      <c r="C35" s="1"/>
      <c r="D35" s="1"/>
      <c r="E35" s="1"/>
      <c r="F35" s="1"/>
      <c r="G35" s="38"/>
      <c r="H35" s="1"/>
      <c r="I35" s="1"/>
      <c r="J35" s="1"/>
      <c r="K35" s="1"/>
      <c r="L35" s="1"/>
      <c r="M35" s="1"/>
      <c r="N35" s="1"/>
      <c r="O35" s="9"/>
      <c r="P35" s="9"/>
      <c r="Q35" s="55"/>
      <c r="R35" s="1"/>
    </row>
    <row r="36" spans="1:18" ht="15.5">
      <c r="A36" s="1"/>
      <c r="B36" s="1"/>
      <c r="C36" s="1"/>
      <c r="D36" s="1"/>
      <c r="E36" s="1"/>
      <c r="F36" s="1"/>
      <c r="G36" s="38"/>
      <c r="H36" s="1"/>
      <c r="I36" s="1"/>
      <c r="J36" s="1"/>
      <c r="K36" s="1"/>
      <c r="L36" s="1"/>
      <c r="M36" s="1"/>
      <c r="N36" s="1"/>
      <c r="O36" s="53" t="s">
        <v>371</v>
      </c>
      <c r="P36" s="55"/>
      <c r="Q36" s="9"/>
      <c r="R36" s="1"/>
    </row>
    <row r="37" spans="1:18" ht="15.5">
      <c r="A37" s="1"/>
      <c r="B37" s="1"/>
      <c r="C37" s="1"/>
      <c r="D37" s="1"/>
      <c r="E37" s="1"/>
      <c r="F37" s="1"/>
      <c r="G37" s="38"/>
      <c r="H37" s="1"/>
      <c r="I37" s="1"/>
      <c r="J37" s="1"/>
      <c r="K37" s="1"/>
      <c r="L37" s="1"/>
      <c r="M37" s="1"/>
      <c r="N37" s="1"/>
      <c r="O37" s="63" t="s">
        <v>372</v>
      </c>
      <c r="P37" s="9"/>
      <c r="Q37" s="9"/>
      <c r="R37" s="1"/>
    </row>
    <row r="38" spans="1:18" ht="15.5">
      <c r="O38" s="1"/>
      <c r="P38" s="9"/>
      <c r="Q38" s="9"/>
    </row>
  </sheetData>
  <mergeCells count="14">
    <mergeCell ref="R9:R10"/>
    <mergeCell ref="A1:R1"/>
    <mergeCell ref="A2:R2"/>
    <mergeCell ref="A9:A10"/>
    <mergeCell ref="B9:C9"/>
    <mergeCell ref="D9:D10"/>
    <mergeCell ref="E9:E10"/>
    <mergeCell ref="F9:G9"/>
    <mergeCell ref="H9:H10"/>
    <mergeCell ref="I9:K9"/>
    <mergeCell ref="L9:L10"/>
    <mergeCell ref="M9:N9"/>
    <mergeCell ref="O9:P9"/>
    <mergeCell ref="Q9:Q10"/>
  </mergeCells>
  <conditionalFormatting sqref="B12">
    <cfRule type="duplicateValues" dxfId="36" priority="25" stopIfTrue="1"/>
  </conditionalFormatting>
  <conditionalFormatting sqref="B13">
    <cfRule type="duplicateValues" dxfId="35" priority="24" stopIfTrue="1"/>
  </conditionalFormatting>
  <conditionalFormatting sqref="B14">
    <cfRule type="duplicateValues" dxfId="34" priority="23" stopIfTrue="1"/>
  </conditionalFormatting>
  <conditionalFormatting sqref="B15">
    <cfRule type="duplicateValues" dxfId="33" priority="22" stopIfTrue="1"/>
  </conditionalFormatting>
  <conditionalFormatting sqref="B16:B17">
    <cfRule type="duplicateValues" dxfId="32" priority="21" stopIfTrue="1"/>
  </conditionalFormatting>
  <conditionalFormatting sqref="G18:G19 G21:G28">
    <cfRule type="expression" dxfId="31" priority="7" stopIfTrue="1">
      <formula>G18=""</formula>
    </cfRule>
    <cfRule type="expression" dxfId="30" priority="8" stopIfTrue="1">
      <formula>AND(DATEVALUE(G18),G18&lt;&gt;"")</formula>
    </cfRule>
  </conditionalFormatting>
  <conditionalFormatting sqref="G12:G17">
    <cfRule type="expression" dxfId="29" priority="18" stopIfTrue="1">
      <formula>G12=""</formula>
    </cfRule>
    <cfRule type="expression" dxfId="28" priority="19" stopIfTrue="1">
      <formula>AND(DATEVALUE(G12),G12&lt;&gt;"")</formula>
    </cfRule>
  </conditionalFormatting>
  <conditionalFormatting sqref="G12:G17">
    <cfRule type="expression" dxfId="27" priority="13" stopIfTrue="1">
      <formula>G12=""</formula>
    </cfRule>
    <cfRule type="expression" dxfId="26" priority="14" stopIfTrue="1">
      <formula>AND(DATEVALUE(G12),G12&lt;&gt;"")</formula>
    </cfRule>
  </conditionalFormatting>
  <conditionalFormatting sqref="B18:B19 B21">
    <cfRule type="duplicateValues" dxfId="25" priority="87" stopIfTrue="1"/>
  </conditionalFormatting>
  <conditionalFormatting sqref="B18:B19 B21:B28">
    <cfRule type="duplicateValues" dxfId="24" priority="88" stopIfTrue="1"/>
  </conditionalFormatting>
  <conditionalFormatting sqref="G20">
    <cfRule type="expression" dxfId="23" priority="1" stopIfTrue="1">
      <formula>G20=""</formula>
    </cfRule>
    <cfRule type="expression" dxfId="22" priority="2" stopIfTrue="1">
      <formula>AND(DATEVALUE(G20),G20&lt;&gt;"")</formula>
    </cfRule>
  </conditionalFormatting>
  <conditionalFormatting sqref="B20">
    <cfRule type="duplicateValues" dxfId="21" priority="3" stopIfTrue="1"/>
  </conditionalFormatting>
  <conditionalFormatting sqref="B20">
    <cfRule type="duplicateValues" dxfId="20" priority="4" stopIfTrue="1"/>
  </conditionalFormatting>
  <dataValidations count="5">
    <dataValidation allowBlank="1" showInputMessage="1" showErrorMessage="1" prompt="Nomor Induk Siswa" sqref="B12:B28" xr:uid="{00000000-0002-0000-0600-000000000000}"/>
    <dataValidation type="list" allowBlank="1" showDropDown="1" showInputMessage="1" showErrorMessage="1" error="Gunakan L = Laki-laki, P = Perempuan" prompt="L = Laki-laki_x000a_P = Perempuan" sqref="E12:E28" xr:uid="{00000000-0002-0000-0600-000001000000}">
      <formula1>"L, P,"</formula1>
    </dataValidation>
    <dataValidation allowBlank="1" showInputMessage="1" showErrorMessage="1" prompt="Tempat Lahir" sqref="F12:F28" xr:uid="{00000000-0002-0000-0600-000002000000}"/>
    <dataValidation allowBlank="1" showInputMessage="1" showErrorMessage="1" prompt="(yyyy-mm-dd)_x000a_1996-05-18" sqref="G12:G28" xr:uid="{00000000-0002-0000-0600-000003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8" xr:uid="{00000000-0002-0000-0600-000004000000}">
      <formula1>"A, B, C, D, E, F, G, H, I, J, K, L,"</formula1>
    </dataValidation>
  </dataValidations>
  <pageMargins left="0.4" right="0.26" top="0.74803149606299202" bottom="0.97" header="0.31496062992126" footer="0.31496062992126"/>
  <pageSetup paperSize="5" scale="70" orientation="landscape" horizontalDpi="4294967293" r:id="rId1"/>
  <ignoredErrors>
    <ignoredError sqref="C27:C28 C20:C25 C19 C26 O11:O28 C13 C14 C15 C16 C17 C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4"/>
  <sheetViews>
    <sheetView zoomScale="77" zoomScaleNormal="77" workbookViewId="0">
      <selection activeCell="D24" sqref="D24"/>
    </sheetView>
  </sheetViews>
  <sheetFormatPr defaultRowHeight="12.5"/>
  <cols>
    <col min="3" max="3" width="15" customWidth="1"/>
    <col min="4" max="4" width="32.54296875" customWidth="1"/>
    <col min="6" max="6" width="13.1796875" bestFit="1" customWidth="1"/>
    <col min="7" max="7" width="12.7265625" style="37" bestFit="1" customWidth="1"/>
    <col min="9" max="9" width="16.26953125" bestFit="1" customWidth="1"/>
    <col min="11" max="11" width="11.7265625" bestFit="1" customWidth="1"/>
    <col min="12" max="12" width="14.81640625" bestFit="1" customWidth="1"/>
    <col min="15" max="15" width="8.453125" customWidth="1"/>
    <col min="16" max="16" width="8.81640625" customWidth="1"/>
    <col min="17" max="17" width="36.7265625" bestFit="1" customWidth="1"/>
  </cols>
  <sheetData>
    <row r="1" spans="1:18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1:18" ht="15.5">
      <c r="A2" s="145" t="s">
        <v>373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18" ht="15.5">
      <c r="A3" s="1"/>
      <c r="B3" s="1"/>
      <c r="C3" s="1"/>
      <c r="D3" s="1"/>
      <c r="E3" s="1"/>
      <c r="F3" s="1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5">
      <c r="A4" s="1" t="s">
        <v>1</v>
      </c>
      <c r="B4" s="1"/>
      <c r="C4" s="1" t="s">
        <v>108</v>
      </c>
      <c r="D4" s="1"/>
      <c r="E4" s="1"/>
      <c r="F4" s="1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5">
      <c r="A5" s="1" t="s">
        <v>2</v>
      </c>
      <c r="B5" s="1"/>
      <c r="C5" s="6" t="s">
        <v>109</v>
      </c>
      <c r="D5" s="6"/>
      <c r="E5" s="1"/>
      <c r="F5" s="1"/>
      <c r="G5" s="38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5">
      <c r="A6" s="1" t="s">
        <v>3</v>
      </c>
      <c r="B6" s="1"/>
      <c r="C6" s="1" t="s">
        <v>353</v>
      </c>
      <c r="D6" s="1"/>
      <c r="E6" s="1"/>
      <c r="F6" s="1"/>
      <c r="G6" s="38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>
      <c r="A7" s="1" t="s">
        <v>4</v>
      </c>
      <c r="B7" s="1"/>
      <c r="C7" s="1" t="s">
        <v>110</v>
      </c>
      <c r="D7" s="1"/>
      <c r="E7" s="1"/>
      <c r="F7" s="1"/>
      <c r="G7" s="38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>
      <c r="A8" s="1"/>
      <c r="B8" s="1"/>
      <c r="C8" s="1"/>
      <c r="D8" s="1"/>
      <c r="E8" s="1"/>
      <c r="F8" s="1"/>
      <c r="G8" s="38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5">
      <c r="A9" s="144" t="s">
        <v>5</v>
      </c>
      <c r="B9" s="144" t="s">
        <v>6</v>
      </c>
      <c r="C9" s="144"/>
      <c r="D9" s="144" t="s">
        <v>9</v>
      </c>
      <c r="E9" s="144" t="s">
        <v>10</v>
      </c>
      <c r="F9" s="144" t="s">
        <v>11</v>
      </c>
      <c r="G9" s="144"/>
      <c r="H9" s="144" t="s">
        <v>12</v>
      </c>
      <c r="I9" s="144" t="s">
        <v>13</v>
      </c>
      <c r="J9" s="144"/>
      <c r="K9" s="144"/>
      <c r="L9" s="150" t="s">
        <v>17</v>
      </c>
      <c r="M9" s="144" t="s">
        <v>18</v>
      </c>
      <c r="N9" s="144"/>
      <c r="O9" s="144" t="s">
        <v>21</v>
      </c>
      <c r="P9" s="144"/>
      <c r="Q9" s="144" t="s">
        <v>24</v>
      </c>
      <c r="R9" s="144" t="s">
        <v>25</v>
      </c>
    </row>
    <row r="10" spans="1:18" ht="15.5">
      <c r="A10" s="144"/>
      <c r="B10" s="2" t="s">
        <v>7</v>
      </c>
      <c r="C10" s="2" t="s">
        <v>8</v>
      </c>
      <c r="D10" s="144"/>
      <c r="E10" s="144"/>
      <c r="F10" s="2" t="s">
        <v>27</v>
      </c>
      <c r="G10" s="4" t="s">
        <v>28</v>
      </c>
      <c r="H10" s="144"/>
      <c r="I10" s="2" t="s">
        <v>14</v>
      </c>
      <c r="J10" s="2" t="s">
        <v>15</v>
      </c>
      <c r="K10" s="2" t="s">
        <v>16</v>
      </c>
      <c r="L10" s="151"/>
      <c r="M10" s="2" t="s">
        <v>19</v>
      </c>
      <c r="N10" s="2" t="s">
        <v>20</v>
      </c>
      <c r="O10" s="2" t="s">
        <v>22</v>
      </c>
      <c r="P10" s="2" t="s">
        <v>23</v>
      </c>
      <c r="Q10" s="144"/>
      <c r="R10" s="144"/>
    </row>
    <row r="11" spans="1:18" ht="15.5">
      <c r="A11" s="2">
        <v>1</v>
      </c>
      <c r="B11" s="2">
        <f t="shared" ref="B11:N11" si="0">A11+1</f>
        <v>2</v>
      </c>
      <c r="C11" s="2">
        <f t="shared" si="0"/>
        <v>3</v>
      </c>
      <c r="D11" s="11">
        <f t="shared" si="0"/>
        <v>4</v>
      </c>
      <c r="E11" s="2">
        <f t="shared" si="0"/>
        <v>5</v>
      </c>
      <c r="F11" s="2">
        <f t="shared" si="0"/>
        <v>6</v>
      </c>
      <c r="G11" s="4">
        <f t="shared" si="0"/>
        <v>7</v>
      </c>
      <c r="H11" s="2">
        <f t="shared" si="0"/>
        <v>8</v>
      </c>
      <c r="I11" s="11">
        <f t="shared" si="0"/>
        <v>9</v>
      </c>
      <c r="J11" s="2">
        <f t="shared" si="0"/>
        <v>10</v>
      </c>
      <c r="K11" s="2">
        <f t="shared" si="0"/>
        <v>11</v>
      </c>
      <c r="L11" s="2">
        <f t="shared" si="0"/>
        <v>12</v>
      </c>
      <c r="M11" s="2">
        <f t="shared" si="0"/>
        <v>13</v>
      </c>
      <c r="N11" s="2">
        <f t="shared" si="0"/>
        <v>14</v>
      </c>
      <c r="O11" s="10" t="s">
        <v>406</v>
      </c>
      <c r="P11" s="2">
        <f>O11+1</f>
        <v>16</v>
      </c>
      <c r="Q11" s="11">
        <f>P11+1</f>
        <v>17</v>
      </c>
      <c r="R11" s="2">
        <f>Q11+1</f>
        <v>18</v>
      </c>
    </row>
    <row r="12" spans="1:18" s="29" customFormat="1" ht="15.5">
      <c r="A12" s="2">
        <v>1</v>
      </c>
      <c r="B12" s="14" t="s">
        <v>55</v>
      </c>
      <c r="C12" s="18" t="s">
        <v>228</v>
      </c>
      <c r="D12" s="28" t="s">
        <v>96</v>
      </c>
      <c r="E12" s="19" t="s">
        <v>26</v>
      </c>
      <c r="F12" s="33" t="s">
        <v>37</v>
      </c>
      <c r="G12" s="40">
        <v>40969</v>
      </c>
      <c r="H12" s="12" t="s">
        <v>29</v>
      </c>
      <c r="I12" s="28" t="s">
        <v>136</v>
      </c>
      <c r="J12" s="13" t="s">
        <v>40</v>
      </c>
      <c r="K12" s="2" t="s">
        <v>42</v>
      </c>
      <c r="L12" s="2" t="s">
        <v>76</v>
      </c>
      <c r="M12" s="2" t="s">
        <v>33</v>
      </c>
      <c r="N12" s="2" t="s">
        <v>33</v>
      </c>
      <c r="O12" s="10" t="s">
        <v>350</v>
      </c>
      <c r="P12" s="12">
        <v>2018</v>
      </c>
      <c r="Q12" s="28" t="s">
        <v>138</v>
      </c>
      <c r="R12" s="13"/>
    </row>
    <row r="13" spans="1:18" s="29" customFormat="1" ht="15.5">
      <c r="A13" s="2">
        <v>2</v>
      </c>
      <c r="B13" s="14" t="s">
        <v>354</v>
      </c>
      <c r="C13" s="18" t="s">
        <v>367</v>
      </c>
      <c r="D13" s="135" t="s">
        <v>297</v>
      </c>
      <c r="E13" s="19" t="s">
        <v>30</v>
      </c>
      <c r="F13" s="33" t="s">
        <v>37</v>
      </c>
      <c r="G13" s="40">
        <v>40978</v>
      </c>
      <c r="H13" s="12" t="s">
        <v>29</v>
      </c>
      <c r="I13" s="28" t="s">
        <v>368</v>
      </c>
      <c r="J13" s="13" t="s">
        <v>43</v>
      </c>
      <c r="K13" s="2" t="s">
        <v>42</v>
      </c>
      <c r="L13" s="2" t="s">
        <v>76</v>
      </c>
      <c r="M13" s="2" t="s">
        <v>33</v>
      </c>
      <c r="N13" s="2" t="s">
        <v>33</v>
      </c>
      <c r="O13" s="10" t="s">
        <v>350</v>
      </c>
      <c r="P13" s="12">
        <v>2018</v>
      </c>
      <c r="Q13" s="28" t="s">
        <v>82</v>
      </c>
      <c r="R13" s="13"/>
    </row>
    <row r="14" spans="1:18" s="29" customFormat="1" ht="15.5">
      <c r="A14" s="2">
        <v>3</v>
      </c>
      <c r="B14" s="14" t="s">
        <v>56</v>
      </c>
      <c r="C14" s="18" t="s">
        <v>229</v>
      </c>
      <c r="D14" s="135" t="s">
        <v>97</v>
      </c>
      <c r="E14" s="19" t="s">
        <v>30</v>
      </c>
      <c r="F14" s="33" t="s">
        <v>35</v>
      </c>
      <c r="G14" s="40">
        <v>41032</v>
      </c>
      <c r="H14" s="12" t="s">
        <v>29</v>
      </c>
      <c r="I14" s="28" t="s">
        <v>87</v>
      </c>
      <c r="J14" s="13" t="s">
        <v>38</v>
      </c>
      <c r="K14" s="2" t="s">
        <v>41</v>
      </c>
      <c r="L14" s="2" t="s">
        <v>76</v>
      </c>
      <c r="M14" s="2" t="s">
        <v>33</v>
      </c>
      <c r="N14" s="2" t="s">
        <v>33</v>
      </c>
      <c r="O14" s="10" t="s">
        <v>350</v>
      </c>
      <c r="P14" s="12">
        <v>2018</v>
      </c>
      <c r="Q14" s="28" t="s">
        <v>78</v>
      </c>
      <c r="R14" s="13"/>
    </row>
    <row r="15" spans="1:18" ht="15.5">
      <c r="A15" s="2">
        <v>4</v>
      </c>
      <c r="B15" s="14" t="s">
        <v>57</v>
      </c>
      <c r="C15" s="18" t="s">
        <v>230</v>
      </c>
      <c r="D15" s="22" t="s">
        <v>98</v>
      </c>
      <c r="E15" s="19" t="s">
        <v>30</v>
      </c>
      <c r="F15" s="15" t="s">
        <v>37</v>
      </c>
      <c r="G15" s="40">
        <v>41196</v>
      </c>
      <c r="H15" s="12" t="s">
        <v>29</v>
      </c>
      <c r="I15" s="22" t="s">
        <v>88</v>
      </c>
      <c r="J15" s="13" t="s">
        <v>40</v>
      </c>
      <c r="K15" s="2" t="s">
        <v>42</v>
      </c>
      <c r="L15" s="2" t="s">
        <v>76</v>
      </c>
      <c r="M15" s="2" t="s">
        <v>33</v>
      </c>
      <c r="N15" s="2" t="s">
        <v>33</v>
      </c>
      <c r="O15" s="10" t="s">
        <v>350</v>
      </c>
      <c r="P15" s="12">
        <v>2018</v>
      </c>
      <c r="Q15" s="23" t="s">
        <v>84</v>
      </c>
      <c r="R15" s="13"/>
    </row>
    <row r="16" spans="1:18" ht="15.5">
      <c r="A16" s="2">
        <v>5</v>
      </c>
      <c r="B16" s="14" t="s">
        <v>58</v>
      </c>
      <c r="C16" s="18" t="s">
        <v>231</v>
      </c>
      <c r="D16" s="137" t="s">
        <v>99</v>
      </c>
      <c r="E16" s="19" t="s">
        <v>26</v>
      </c>
      <c r="F16" s="15" t="s">
        <v>37</v>
      </c>
      <c r="G16" s="40">
        <v>41238</v>
      </c>
      <c r="H16" s="12" t="s">
        <v>29</v>
      </c>
      <c r="I16" s="22" t="s">
        <v>89</v>
      </c>
      <c r="J16" s="13" t="s">
        <v>38</v>
      </c>
      <c r="K16" s="2" t="s">
        <v>39</v>
      </c>
      <c r="L16" s="2" t="s">
        <v>76</v>
      </c>
      <c r="M16" s="2" t="s">
        <v>33</v>
      </c>
      <c r="N16" s="2" t="s">
        <v>33</v>
      </c>
      <c r="O16" s="10" t="s">
        <v>350</v>
      </c>
      <c r="P16" s="12">
        <v>2018</v>
      </c>
      <c r="Q16" s="23" t="s">
        <v>79</v>
      </c>
      <c r="R16" s="13"/>
    </row>
    <row r="17" spans="1:18" s="29" customFormat="1" ht="15.5">
      <c r="A17" s="2">
        <v>6</v>
      </c>
      <c r="B17" s="14" t="s">
        <v>59</v>
      </c>
      <c r="C17" s="18" t="s">
        <v>232</v>
      </c>
      <c r="D17" s="28" t="s">
        <v>100</v>
      </c>
      <c r="E17" s="19" t="s">
        <v>30</v>
      </c>
      <c r="F17" s="33" t="s">
        <v>74</v>
      </c>
      <c r="G17" s="40">
        <v>41260</v>
      </c>
      <c r="H17" s="12" t="s">
        <v>29</v>
      </c>
      <c r="I17" s="28" t="s">
        <v>90</v>
      </c>
      <c r="J17" s="13" t="s">
        <v>38</v>
      </c>
      <c r="K17" s="2" t="s">
        <v>41</v>
      </c>
      <c r="L17" s="2" t="s">
        <v>76</v>
      </c>
      <c r="M17" s="2" t="s">
        <v>33</v>
      </c>
      <c r="N17" s="2" t="s">
        <v>33</v>
      </c>
      <c r="O17" s="10" t="s">
        <v>350</v>
      </c>
      <c r="P17" s="12">
        <v>2018</v>
      </c>
      <c r="Q17" s="28" t="s">
        <v>80</v>
      </c>
      <c r="R17" s="13"/>
    </row>
    <row r="18" spans="1:18" s="29" customFormat="1" ht="15.5">
      <c r="A18" s="2">
        <v>7</v>
      </c>
      <c r="B18" s="14" t="s">
        <v>60</v>
      </c>
      <c r="C18" s="18" t="s">
        <v>233</v>
      </c>
      <c r="D18" s="135" t="s">
        <v>101</v>
      </c>
      <c r="E18" s="20" t="s">
        <v>26</v>
      </c>
      <c r="F18" s="35" t="s">
        <v>37</v>
      </c>
      <c r="G18" s="40">
        <v>41021</v>
      </c>
      <c r="H18" s="12" t="s">
        <v>29</v>
      </c>
      <c r="I18" s="28" t="s">
        <v>91</v>
      </c>
      <c r="J18" s="13" t="s">
        <v>36</v>
      </c>
      <c r="K18" s="2" t="s">
        <v>42</v>
      </c>
      <c r="L18" s="2" t="s">
        <v>76</v>
      </c>
      <c r="M18" s="2" t="s">
        <v>33</v>
      </c>
      <c r="N18" s="2" t="s">
        <v>33</v>
      </c>
      <c r="O18" s="10" t="s">
        <v>350</v>
      </c>
      <c r="P18" s="12">
        <v>2018</v>
      </c>
      <c r="Q18" s="28" t="s">
        <v>86</v>
      </c>
      <c r="R18" s="13"/>
    </row>
    <row r="19" spans="1:18" ht="15.5">
      <c r="A19" s="2">
        <v>8</v>
      </c>
      <c r="B19" s="14" t="s">
        <v>61</v>
      </c>
      <c r="C19" s="18" t="s">
        <v>234</v>
      </c>
      <c r="D19" s="137" t="s">
        <v>102</v>
      </c>
      <c r="E19" s="21" t="s">
        <v>30</v>
      </c>
      <c r="F19" s="17" t="s">
        <v>37</v>
      </c>
      <c r="G19" s="41" t="s">
        <v>67</v>
      </c>
      <c r="H19" s="12" t="s">
        <v>29</v>
      </c>
      <c r="I19" s="22" t="s">
        <v>92</v>
      </c>
      <c r="J19" s="13" t="s">
        <v>36</v>
      </c>
      <c r="K19" s="2" t="s">
        <v>39</v>
      </c>
      <c r="L19" s="2" t="s">
        <v>76</v>
      </c>
      <c r="M19" s="2" t="s">
        <v>33</v>
      </c>
      <c r="N19" s="2" t="s">
        <v>33</v>
      </c>
      <c r="O19" s="10" t="s">
        <v>350</v>
      </c>
      <c r="P19" s="12">
        <v>2018</v>
      </c>
      <c r="Q19" s="22" t="s">
        <v>85</v>
      </c>
      <c r="R19" s="13"/>
    </row>
    <row r="20" spans="1:18" ht="15.5">
      <c r="A20" s="2">
        <v>9</v>
      </c>
      <c r="B20" s="14" t="s">
        <v>62</v>
      </c>
      <c r="C20" s="18" t="s">
        <v>235</v>
      </c>
      <c r="D20" s="22" t="s">
        <v>103</v>
      </c>
      <c r="E20" s="21" t="s">
        <v>30</v>
      </c>
      <c r="F20" s="17" t="s">
        <v>35</v>
      </c>
      <c r="G20" s="41" t="s">
        <v>68</v>
      </c>
      <c r="H20" s="12" t="s">
        <v>29</v>
      </c>
      <c r="I20" s="22" t="s">
        <v>137</v>
      </c>
      <c r="J20" s="13" t="s">
        <v>38</v>
      </c>
      <c r="K20" s="2" t="s">
        <v>39</v>
      </c>
      <c r="L20" s="2" t="s">
        <v>76</v>
      </c>
      <c r="M20" s="2" t="s">
        <v>33</v>
      </c>
      <c r="N20" s="2" t="s">
        <v>33</v>
      </c>
      <c r="O20" s="10" t="s">
        <v>350</v>
      </c>
      <c r="P20" s="12">
        <v>2018</v>
      </c>
      <c r="Q20" s="22" t="s">
        <v>81</v>
      </c>
      <c r="R20" s="13"/>
    </row>
    <row r="21" spans="1:18" ht="15.5">
      <c r="A21" s="2">
        <v>10</v>
      </c>
      <c r="B21" s="14" t="s">
        <v>63</v>
      </c>
      <c r="C21" s="18" t="s">
        <v>236</v>
      </c>
      <c r="D21" s="137" t="s">
        <v>104</v>
      </c>
      <c r="E21" s="21" t="s">
        <v>26</v>
      </c>
      <c r="F21" s="17" t="s">
        <v>37</v>
      </c>
      <c r="G21" s="41" t="s">
        <v>69</v>
      </c>
      <c r="H21" s="12" t="s">
        <v>29</v>
      </c>
      <c r="I21" s="22" t="s">
        <v>93</v>
      </c>
      <c r="J21" s="13" t="s">
        <v>38</v>
      </c>
      <c r="K21" s="2" t="s">
        <v>41</v>
      </c>
      <c r="L21" s="2" t="s">
        <v>76</v>
      </c>
      <c r="M21" s="2" t="s">
        <v>33</v>
      </c>
      <c r="N21" s="2" t="s">
        <v>33</v>
      </c>
      <c r="O21" s="10" t="s">
        <v>350</v>
      </c>
      <c r="P21" s="12">
        <v>2018</v>
      </c>
      <c r="Q21" s="22" t="s">
        <v>82</v>
      </c>
      <c r="R21" s="13"/>
    </row>
    <row r="22" spans="1:18" ht="15.5">
      <c r="A22" s="2">
        <v>11</v>
      </c>
      <c r="B22" s="14" t="s">
        <v>64</v>
      </c>
      <c r="C22" s="18" t="s">
        <v>237</v>
      </c>
      <c r="D22" s="22" t="s">
        <v>105</v>
      </c>
      <c r="E22" s="21" t="s">
        <v>26</v>
      </c>
      <c r="F22" s="17" t="s">
        <v>37</v>
      </c>
      <c r="G22" s="41" t="s">
        <v>70</v>
      </c>
      <c r="H22" s="12" t="s">
        <v>29</v>
      </c>
      <c r="I22" s="22" t="s">
        <v>94</v>
      </c>
      <c r="J22" s="13" t="s">
        <v>40</v>
      </c>
      <c r="K22" s="2" t="s">
        <v>41</v>
      </c>
      <c r="L22" s="2" t="s">
        <v>76</v>
      </c>
      <c r="M22" s="2" t="s">
        <v>33</v>
      </c>
      <c r="N22" s="2" t="s">
        <v>33</v>
      </c>
      <c r="O22" s="10" t="s">
        <v>350</v>
      </c>
      <c r="P22" s="12">
        <v>2018</v>
      </c>
      <c r="Q22" s="22" t="s">
        <v>86</v>
      </c>
      <c r="R22" s="13"/>
    </row>
    <row r="23" spans="1:18" ht="15.5">
      <c r="A23" s="2">
        <v>12</v>
      </c>
      <c r="B23" s="14" t="s">
        <v>65</v>
      </c>
      <c r="C23" s="18" t="s">
        <v>238</v>
      </c>
      <c r="D23" s="22" t="s">
        <v>106</v>
      </c>
      <c r="E23" s="21" t="s">
        <v>30</v>
      </c>
      <c r="F23" s="17" t="s">
        <v>37</v>
      </c>
      <c r="G23" s="41" t="s">
        <v>71</v>
      </c>
      <c r="H23" s="12" t="s">
        <v>29</v>
      </c>
      <c r="I23" s="22" t="s">
        <v>45</v>
      </c>
      <c r="J23" s="13" t="s">
        <v>40</v>
      </c>
      <c r="K23" s="2" t="s">
        <v>39</v>
      </c>
      <c r="L23" s="2" t="s">
        <v>76</v>
      </c>
      <c r="M23" s="2" t="s">
        <v>33</v>
      </c>
      <c r="N23" s="2" t="s">
        <v>33</v>
      </c>
      <c r="O23" s="10" t="s">
        <v>350</v>
      </c>
      <c r="P23" s="12">
        <v>2018</v>
      </c>
      <c r="Q23" s="22" t="s">
        <v>83</v>
      </c>
      <c r="R23" s="13"/>
    </row>
    <row r="24" spans="1:18" ht="15.5">
      <c r="A24" s="2">
        <v>13</v>
      </c>
      <c r="B24" s="14" t="s">
        <v>66</v>
      </c>
      <c r="C24" s="18" t="s">
        <v>239</v>
      </c>
      <c r="D24" s="137" t="s">
        <v>107</v>
      </c>
      <c r="E24" s="21" t="s">
        <v>26</v>
      </c>
      <c r="F24" s="17" t="s">
        <v>75</v>
      </c>
      <c r="G24" s="41" t="s">
        <v>72</v>
      </c>
      <c r="H24" s="12" t="s">
        <v>29</v>
      </c>
      <c r="I24" s="22" t="s">
        <v>95</v>
      </c>
      <c r="J24" s="13" t="s">
        <v>38</v>
      </c>
      <c r="K24" s="2" t="s">
        <v>73</v>
      </c>
      <c r="L24" s="2" t="s">
        <v>76</v>
      </c>
      <c r="M24" s="2" t="s">
        <v>33</v>
      </c>
      <c r="N24" s="2" t="s">
        <v>33</v>
      </c>
      <c r="O24" s="10" t="s">
        <v>350</v>
      </c>
      <c r="P24" s="12">
        <v>2018</v>
      </c>
      <c r="Q24" s="22" t="s">
        <v>78</v>
      </c>
      <c r="R24" s="13"/>
    </row>
    <row r="25" spans="1:18" ht="15.5">
      <c r="A25" s="1"/>
      <c r="B25" s="1"/>
      <c r="C25" s="1"/>
      <c r="D25" s="1"/>
      <c r="E25" s="1"/>
      <c r="F25" s="1"/>
      <c r="G25" s="38"/>
      <c r="H25" s="1"/>
      <c r="I25" s="1"/>
      <c r="J25" s="1"/>
      <c r="K25" s="1"/>
      <c r="L25" s="1"/>
      <c r="M25" s="1"/>
      <c r="N25" s="1"/>
      <c r="O25" s="1"/>
      <c r="R25" s="1"/>
    </row>
    <row r="26" spans="1:18" ht="15.5">
      <c r="A26" s="1"/>
      <c r="B26" s="7"/>
      <c r="C26" s="1"/>
      <c r="D26" s="1"/>
      <c r="E26" s="1"/>
      <c r="F26" s="1"/>
      <c r="G26" s="38"/>
      <c r="H26" s="1"/>
      <c r="I26" s="1"/>
      <c r="J26" s="1"/>
      <c r="K26" s="1"/>
      <c r="L26" s="1"/>
      <c r="M26" s="1"/>
      <c r="N26" s="1"/>
      <c r="O26" s="1"/>
      <c r="P26" s="9"/>
      <c r="Q26" s="9"/>
      <c r="R26" s="1"/>
    </row>
    <row r="27" spans="1:18" ht="15.5">
      <c r="A27" s="1"/>
      <c r="B27" s="8" t="s">
        <v>34</v>
      </c>
      <c r="C27" s="1"/>
      <c r="D27" s="1"/>
      <c r="E27" s="1"/>
      <c r="F27" s="1"/>
      <c r="G27" s="38"/>
      <c r="H27" s="1"/>
      <c r="I27" s="1"/>
      <c r="J27" s="1"/>
      <c r="K27" s="1"/>
      <c r="L27" s="1"/>
      <c r="M27" s="1"/>
      <c r="N27" s="1"/>
      <c r="O27" s="1"/>
      <c r="R27" s="1"/>
    </row>
    <row r="28" spans="1:18" ht="15.5">
      <c r="A28" s="1"/>
      <c r="B28" s="7" t="s">
        <v>26</v>
      </c>
      <c r="C28" s="1" t="s">
        <v>184</v>
      </c>
      <c r="D28" s="1"/>
      <c r="E28" s="1"/>
      <c r="F28" s="1"/>
      <c r="G28" s="38"/>
      <c r="H28" s="1"/>
      <c r="I28" s="1"/>
      <c r="J28" s="1"/>
      <c r="K28" s="1"/>
      <c r="L28" s="1"/>
      <c r="M28" s="1"/>
      <c r="N28" s="1"/>
      <c r="O28" s="1"/>
      <c r="P28" s="9"/>
      <c r="Q28" s="9"/>
      <c r="R28" s="1"/>
    </row>
    <row r="29" spans="1:18" ht="15.5">
      <c r="A29" s="1"/>
      <c r="B29" s="7" t="s">
        <v>31</v>
      </c>
      <c r="C29" s="1" t="s">
        <v>135</v>
      </c>
      <c r="D29" s="1"/>
      <c r="E29" s="1"/>
      <c r="F29" s="1"/>
      <c r="G29" s="38"/>
      <c r="H29" s="1"/>
      <c r="I29" s="1"/>
      <c r="J29" s="1"/>
      <c r="K29" s="1"/>
      <c r="L29" s="1"/>
      <c r="M29" s="1"/>
      <c r="N29" s="1"/>
      <c r="O29" s="1"/>
      <c r="P29" s="9"/>
      <c r="Q29" s="9"/>
      <c r="R29" s="1"/>
    </row>
    <row r="30" spans="1:18" ht="15.5">
      <c r="A30" s="1"/>
      <c r="B30" s="7" t="s">
        <v>32</v>
      </c>
      <c r="C30" s="1" t="s">
        <v>356</v>
      </c>
      <c r="D30" s="1"/>
      <c r="E30" s="1"/>
      <c r="F30" s="1"/>
      <c r="G30" s="38"/>
      <c r="H30" s="1"/>
      <c r="I30" s="1"/>
      <c r="J30" s="1"/>
      <c r="K30" s="1"/>
      <c r="L30" s="1"/>
      <c r="M30" s="1"/>
      <c r="N30" s="1"/>
      <c r="O30" s="1"/>
      <c r="P30" s="9"/>
      <c r="Q30" s="9"/>
      <c r="R30" s="1"/>
    </row>
    <row r="31" spans="1:18" ht="15.5">
      <c r="A31" s="1"/>
      <c r="B31" s="1"/>
      <c r="C31" s="1"/>
      <c r="D31" s="1"/>
      <c r="E31" s="1"/>
      <c r="F31" s="1"/>
      <c r="G31" s="38"/>
      <c r="H31" s="1"/>
      <c r="I31" s="1"/>
      <c r="J31" s="1"/>
      <c r="K31" s="1"/>
      <c r="L31" s="1"/>
      <c r="M31" s="1"/>
      <c r="N31" s="1"/>
      <c r="O31" s="1"/>
      <c r="P31" s="9"/>
      <c r="Q31" s="9"/>
      <c r="R31" s="1"/>
    </row>
    <row r="32" spans="1:18" ht="15.5">
      <c r="A32" s="1"/>
      <c r="B32" s="1"/>
      <c r="C32" s="1"/>
      <c r="D32" s="1"/>
      <c r="E32" s="1"/>
      <c r="F32" s="1"/>
      <c r="G32" s="38"/>
      <c r="H32" s="1"/>
      <c r="I32" s="1"/>
      <c r="J32" s="1"/>
      <c r="K32" s="1"/>
      <c r="L32" s="1"/>
      <c r="M32" s="1"/>
      <c r="N32" s="1"/>
      <c r="R32" s="1"/>
    </row>
    <row r="33" spans="1:18" ht="15.5">
      <c r="A33" s="1"/>
      <c r="B33" s="1"/>
      <c r="C33" s="1"/>
      <c r="D33" s="1"/>
      <c r="E33" s="1"/>
      <c r="F33" s="1"/>
      <c r="G33" s="38"/>
      <c r="H33" s="1"/>
      <c r="I33" s="1"/>
      <c r="J33" s="1"/>
      <c r="K33" s="1"/>
      <c r="L33" s="1"/>
      <c r="M33" s="1"/>
      <c r="N33" s="1"/>
      <c r="O33" s="1"/>
      <c r="P33" s="9"/>
      <c r="Q33" s="9"/>
      <c r="R33" s="1"/>
    </row>
    <row r="34" spans="1:18" ht="15.5">
      <c r="O34" s="1"/>
      <c r="P34" s="9"/>
      <c r="Q34" s="9"/>
    </row>
  </sheetData>
  <mergeCells count="14">
    <mergeCell ref="A1:R1"/>
    <mergeCell ref="A2:R2"/>
    <mergeCell ref="M9:N9"/>
    <mergeCell ref="L9:L10"/>
    <mergeCell ref="O9:P9"/>
    <mergeCell ref="Q9:Q10"/>
    <mergeCell ref="R9:R10"/>
    <mergeCell ref="A9:A10"/>
    <mergeCell ref="B9:C9"/>
    <mergeCell ref="D9:D10"/>
    <mergeCell ref="E9:E10"/>
    <mergeCell ref="F9:G9"/>
    <mergeCell ref="H9:H10"/>
    <mergeCell ref="I9:K9"/>
  </mergeCells>
  <conditionalFormatting sqref="B12:B13">
    <cfRule type="duplicateValues" dxfId="19" priority="20" stopIfTrue="1"/>
  </conditionalFormatting>
  <conditionalFormatting sqref="G12:G22">
    <cfRule type="expression" dxfId="18" priority="16" stopIfTrue="1">
      <formula>G12=""</formula>
    </cfRule>
    <cfRule type="expression" dxfId="17" priority="17" stopIfTrue="1">
      <formula>AND(DATEVALUE(G12),G12&lt;&gt;"")</formula>
    </cfRule>
  </conditionalFormatting>
  <conditionalFormatting sqref="G24">
    <cfRule type="expression" dxfId="16" priority="1" stopIfTrue="1">
      <formula>G24=""</formula>
    </cfRule>
    <cfRule type="expression" dxfId="15" priority="2" stopIfTrue="1">
      <formula>AND(DATEVALUE(G24),G24&lt;&gt;"")</formula>
    </cfRule>
  </conditionalFormatting>
  <conditionalFormatting sqref="G23">
    <cfRule type="expression" dxfId="14" priority="6" stopIfTrue="1">
      <formula>G23=""</formula>
    </cfRule>
    <cfRule type="expression" dxfId="13" priority="7" stopIfTrue="1">
      <formula>AND(DATEVALUE(G23),G23&lt;&gt;"")</formula>
    </cfRule>
  </conditionalFormatting>
  <conditionalFormatting sqref="B23">
    <cfRule type="duplicateValues" dxfId="12" priority="8" stopIfTrue="1"/>
  </conditionalFormatting>
  <conditionalFormatting sqref="B24">
    <cfRule type="duplicateValues" dxfId="11" priority="5" stopIfTrue="1"/>
  </conditionalFormatting>
  <conditionalFormatting sqref="G24">
    <cfRule type="expression" dxfId="10" priority="3" stopIfTrue="1">
      <formula>G24=""</formula>
    </cfRule>
    <cfRule type="expression" dxfId="9" priority="4" stopIfTrue="1">
      <formula>AND(DATEVALUE(G24),G24&lt;&gt;"")</formula>
    </cfRule>
  </conditionalFormatting>
  <conditionalFormatting sqref="B14:B18">
    <cfRule type="duplicateValues" dxfId="8" priority="69" stopIfTrue="1"/>
  </conditionalFormatting>
  <conditionalFormatting sqref="B14:B22">
    <cfRule type="duplicateValues" dxfId="7" priority="102" stopIfTrue="1"/>
  </conditionalFormatting>
  <dataValidations count="5"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2:H24" xr:uid="{00000000-0002-0000-0700-000000000000}">
      <formula1>"A, B, C, D, E, F, G, H, I, J, K, L,"</formula1>
    </dataValidation>
    <dataValidation allowBlank="1" showInputMessage="1" showErrorMessage="1" prompt="(yyyy-mm-dd)_x000a_1996-05-18" sqref="G12:G24" xr:uid="{00000000-0002-0000-0700-000001000000}"/>
    <dataValidation allowBlank="1" showInputMessage="1" showErrorMessage="1" prompt="Tempat Lahir" sqref="F12:F24" xr:uid="{00000000-0002-0000-0700-000002000000}"/>
    <dataValidation type="list" allowBlank="1" showDropDown="1" showInputMessage="1" showErrorMessage="1" error="Gunakan L = Laki-laki, P = Perempuan" prompt="L = Laki-laki_x000a_P = Perempuan" sqref="E12:E24" xr:uid="{00000000-0002-0000-0700-000003000000}">
      <formula1>"L, P,"</formula1>
    </dataValidation>
    <dataValidation allowBlank="1" showInputMessage="1" showErrorMessage="1" prompt="Nomor Induk Siswa" sqref="B12:B24" xr:uid="{00000000-0002-0000-0700-000004000000}"/>
  </dataValidations>
  <pageMargins left="0.4" right="0.26" top="0.74803149606299202" bottom="0.74803149606299202" header="0.31496062992126" footer="0.31496062992126"/>
  <pageSetup paperSize="5" scale="70" orientation="landscape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3"/>
  <sheetViews>
    <sheetView zoomScale="75" zoomScaleNormal="75" workbookViewId="0">
      <selection activeCell="D21" sqref="D21"/>
    </sheetView>
  </sheetViews>
  <sheetFormatPr defaultRowHeight="12.5"/>
  <cols>
    <col min="3" max="3" width="14.81640625" customWidth="1"/>
    <col min="4" max="4" width="29.26953125" customWidth="1"/>
    <col min="5" max="5" width="4.1796875" bestFit="1" customWidth="1"/>
    <col min="6" max="6" width="19.54296875" bestFit="1" customWidth="1"/>
    <col min="7" max="7" width="13.1796875" style="37" customWidth="1"/>
    <col min="9" max="9" width="20.26953125" bestFit="1" customWidth="1"/>
    <col min="11" max="11" width="12.7265625" bestFit="1" customWidth="1"/>
    <col min="12" max="12" width="17" bestFit="1" customWidth="1"/>
    <col min="13" max="13" width="8.453125" customWidth="1"/>
    <col min="14" max="14" width="8.26953125" customWidth="1"/>
    <col min="16" max="16" width="8.26953125" customWidth="1"/>
    <col min="17" max="17" width="45.81640625" customWidth="1"/>
  </cols>
  <sheetData>
    <row r="1" spans="1:18" ht="15.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1:18" ht="15.5">
      <c r="A2" s="145" t="s">
        <v>300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18" ht="15.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</row>
    <row r="4" spans="1:18" ht="15.5">
      <c r="A4" s="1"/>
      <c r="B4" s="1"/>
      <c r="C4" s="1"/>
      <c r="D4" s="1"/>
      <c r="E4" s="1"/>
      <c r="F4" s="1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5">
      <c r="A5" s="1" t="s">
        <v>1</v>
      </c>
      <c r="B5" s="1"/>
      <c r="C5" s="1" t="s">
        <v>108</v>
      </c>
      <c r="D5" s="1"/>
      <c r="E5" s="1"/>
      <c r="F5" s="1"/>
      <c r="G5" s="38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5">
      <c r="A6" s="1" t="s">
        <v>2</v>
      </c>
      <c r="B6" s="1"/>
      <c r="C6" s="6" t="s">
        <v>109</v>
      </c>
      <c r="D6" s="6"/>
      <c r="E6" s="1"/>
      <c r="F6" s="1"/>
      <c r="G6" s="38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>
      <c r="A7" s="1" t="s">
        <v>3</v>
      </c>
      <c r="B7" s="1"/>
      <c r="C7" s="1" t="s">
        <v>353</v>
      </c>
      <c r="D7" s="1"/>
      <c r="E7" s="1"/>
      <c r="F7" s="1"/>
      <c r="G7" s="38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>
      <c r="A8" s="1" t="s">
        <v>4</v>
      </c>
      <c r="B8" s="1"/>
      <c r="C8" s="1" t="s">
        <v>110</v>
      </c>
      <c r="D8" s="1"/>
      <c r="E8" s="1"/>
      <c r="F8" s="1"/>
      <c r="G8" s="38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5">
      <c r="A9" s="1"/>
      <c r="B9" s="1"/>
      <c r="C9" s="1"/>
      <c r="D9" s="1"/>
      <c r="E9" s="1"/>
      <c r="F9" s="1"/>
      <c r="G9" s="38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5">
      <c r="A10" s="150" t="s">
        <v>5</v>
      </c>
      <c r="B10" s="147" t="s">
        <v>6</v>
      </c>
      <c r="C10" s="149"/>
      <c r="D10" s="150" t="s">
        <v>9</v>
      </c>
      <c r="E10" s="150" t="s">
        <v>10</v>
      </c>
      <c r="F10" s="147" t="s">
        <v>11</v>
      </c>
      <c r="G10" s="149"/>
      <c r="H10" s="150" t="s">
        <v>12</v>
      </c>
      <c r="I10" s="147" t="s">
        <v>13</v>
      </c>
      <c r="J10" s="148"/>
      <c r="K10" s="149"/>
      <c r="L10" s="150" t="s">
        <v>17</v>
      </c>
      <c r="M10" s="147" t="s">
        <v>18</v>
      </c>
      <c r="N10" s="149"/>
      <c r="O10" s="147" t="s">
        <v>21</v>
      </c>
      <c r="P10" s="149"/>
      <c r="Q10" s="150" t="s">
        <v>24</v>
      </c>
      <c r="R10" s="150" t="s">
        <v>25</v>
      </c>
    </row>
    <row r="11" spans="1:18" ht="15.5">
      <c r="A11" s="151"/>
      <c r="B11" s="2" t="s">
        <v>7</v>
      </c>
      <c r="C11" s="2" t="s">
        <v>8</v>
      </c>
      <c r="D11" s="151"/>
      <c r="E11" s="151"/>
      <c r="F11" s="2" t="s">
        <v>27</v>
      </c>
      <c r="G11" s="4" t="s">
        <v>28</v>
      </c>
      <c r="H11" s="151"/>
      <c r="I11" s="2" t="s">
        <v>14</v>
      </c>
      <c r="J11" s="2" t="s">
        <v>15</v>
      </c>
      <c r="K11" s="2" t="s">
        <v>16</v>
      </c>
      <c r="L11" s="151"/>
      <c r="M11" s="2" t="s">
        <v>19</v>
      </c>
      <c r="N11" s="2" t="s">
        <v>20</v>
      </c>
      <c r="O11" s="2" t="s">
        <v>22</v>
      </c>
      <c r="P11" s="2" t="s">
        <v>23</v>
      </c>
      <c r="Q11" s="151"/>
      <c r="R11" s="151"/>
    </row>
    <row r="12" spans="1:18" ht="15.5">
      <c r="A12" s="2">
        <v>1</v>
      </c>
      <c r="B12" s="2">
        <f t="shared" ref="B12:R12" si="0">A12+1</f>
        <v>2</v>
      </c>
      <c r="C12" s="2">
        <f t="shared" si="0"/>
        <v>3</v>
      </c>
      <c r="D12" s="2">
        <f t="shared" si="0"/>
        <v>4</v>
      </c>
      <c r="E12" s="2">
        <f t="shared" si="0"/>
        <v>5</v>
      </c>
      <c r="F12" s="11">
        <f t="shared" si="0"/>
        <v>6</v>
      </c>
      <c r="G12" s="4">
        <f t="shared" si="0"/>
        <v>7</v>
      </c>
      <c r="H12" s="2">
        <f t="shared" si="0"/>
        <v>8</v>
      </c>
      <c r="I12" s="11">
        <f t="shared" si="0"/>
        <v>9</v>
      </c>
      <c r="J12" s="2">
        <f t="shared" si="0"/>
        <v>10</v>
      </c>
      <c r="K12" s="2">
        <f t="shared" si="0"/>
        <v>11</v>
      </c>
      <c r="L12" s="2">
        <f t="shared" si="0"/>
        <v>12</v>
      </c>
      <c r="M12" s="2">
        <f t="shared" si="0"/>
        <v>13</v>
      </c>
      <c r="N12" s="2">
        <f t="shared" si="0"/>
        <v>14</v>
      </c>
      <c r="O12" s="2">
        <f t="shared" si="0"/>
        <v>15</v>
      </c>
      <c r="P12" s="2">
        <f t="shared" si="0"/>
        <v>16</v>
      </c>
      <c r="Q12" s="11">
        <f t="shared" si="0"/>
        <v>17</v>
      </c>
      <c r="R12" s="2">
        <f t="shared" si="0"/>
        <v>18</v>
      </c>
    </row>
    <row r="13" spans="1:18" s="29" customFormat="1" ht="15.5">
      <c r="A13" s="2">
        <v>1</v>
      </c>
      <c r="B13" s="14" t="s">
        <v>46</v>
      </c>
      <c r="C13" s="18" t="s">
        <v>218</v>
      </c>
      <c r="D13" s="28" t="s">
        <v>111</v>
      </c>
      <c r="E13" s="24" t="s">
        <v>26</v>
      </c>
      <c r="F13" s="28" t="s">
        <v>119</v>
      </c>
      <c r="G13" s="42">
        <v>40736</v>
      </c>
      <c r="H13" s="12" t="s">
        <v>29</v>
      </c>
      <c r="I13" s="25" t="s">
        <v>120</v>
      </c>
      <c r="J13" s="13" t="s">
        <v>38</v>
      </c>
      <c r="K13" s="2" t="s">
        <v>41</v>
      </c>
      <c r="L13" s="2" t="s">
        <v>76</v>
      </c>
      <c r="M13" s="2" t="s">
        <v>33</v>
      </c>
      <c r="N13" s="2" t="s">
        <v>33</v>
      </c>
      <c r="O13" s="3" t="s">
        <v>349</v>
      </c>
      <c r="P13" s="12">
        <v>2017</v>
      </c>
      <c r="Q13" s="23" t="s">
        <v>132</v>
      </c>
      <c r="R13" s="13"/>
    </row>
    <row r="14" spans="1:18" s="29" customFormat="1" ht="15.5">
      <c r="A14" s="2">
        <f>A13+1</f>
        <v>2</v>
      </c>
      <c r="B14" s="14" t="s">
        <v>47</v>
      </c>
      <c r="C14" s="18" t="s">
        <v>219</v>
      </c>
      <c r="D14" s="28" t="s">
        <v>112</v>
      </c>
      <c r="E14" s="24" t="s">
        <v>30</v>
      </c>
      <c r="F14" s="28" t="s">
        <v>37</v>
      </c>
      <c r="G14" s="42">
        <v>40784</v>
      </c>
      <c r="H14" s="12" t="s">
        <v>29</v>
      </c>
      <c r="I14" s="25" t="s">
        <v>121</v>
      </c>
      <c r="J14" s="13" t="s">
        <v>40</v>
      </c>
      <c r="K14" s="2" t="s">
        <v>39</v>
      </c>
      <c r="L14" s="2" t="s">
        <v>76</v>
      </c>
      <c r="M14" s="2" t="s">
        <v>33</v>
      </c>
      <c r="N14" s="2" t="s">
        <v>33</v>
      </c>
      <c r="O14" s="3" t="s">
        <v>349</v>
      </c>
      <c r="P14" s="12">
        <v>2017</v>
      </c>
      <c r="Q14" s="23" t="s">
        <v>133</v>
      </c>
      <c r="R14" s="13"/>
    </row>
    <row r="15" spans="1:18" s="29" customFormat="1" ht="15.5">
      <c r="A15" s="2">
        <v>3</v>
      </c>
      <c r="B15" s="14" t="s">
        <v>48</v>
      </c>
      <c r="C15" s="18" t="s">
        <v>220</v>
      </c>
      <c r="D15" s="135" t="s">
        <v>113</v>
      </c>
      <c r="E15" s="24" t="s">
        <v>26</v>
      </c>
      <c r="F15" s="28" t="s">
        <v>35</v>
      </c>
      <c r="G15" s="42">
        <v>40746</v>
      </c>
      <c r="H15" s="12" t="s">
        <v>29</v>
      </c>
      <c r="I15" s="25" t="s">
        <v>122</v>
      </c>
      <c r="J15" s="13" t="s">
        <v>40</v>
      </c>
      <c r="K15" s="2" t="s">
        <v>42</v>
      </c>
      <c r="L15" s="2" t="s">
        <v>76</v>
      </c>
      <c r="M15" s="2" t="s">
        <v>33</v>
      </c>
      <c r="N15" s="2" t="s">
        <v>33</v>
      </c>
      <c r="O15" s="3" t="s">
        <v>349</v>
      </c>
      <c r="P15" s="12">
        <v>2017</v>
      </c>
      <c r="Q15" s="23" t="s">
        <v>134</v>
      </c>
      <c r="R15" s="13"/>
    </row>
    <row r="16" spans="1:18" s="29" customFormat="1" ht="15.5">
      <c r="A16" s="2">
        <f>A15+1</f>
        <v>4</v>
      </c>
      <c r="B16" s="14" t="s">
        <v>49</v>
      </c>
      <c r="C16" s="18" t="s">
        <v>221</v>
      </c>
      <c r="D16" s="28" t="s">
        <v>114</v>
      </c>
      <c r="E16" s="24" t="s">
        <v>30</v>
      </c>
      <c r="F16" s="28" t="s">
        <v>35</v>
      </c>
      <c r="G16" s="42">
        <v>40798</v>
      </c>
      <c r="H16" s="12" t="s">
        <v>29</v>
      </c>
      <c r="I16" s="25" t="s">
        <v>123</v>
      </c>
      <c r="J16" s="13" t="s">
        <v>38</v>
      </c>
      <c r="K16" s="2" t="s">
        <v>41</v>
      </c>
      <c r="L16" s="2" t="s">
        <v>76</v>
      </c>
      <c r="M16" s="2" t="s">
        <v>33</v>
      </c>
      <c r="N16" s="2" t="s">
        <v>33</v>
      </c>
      <c r="O16" s="3" t="s">
        <v>349</v>
      </c>
      <c r="P16" s="12">
        <v>2017</v>
      </c>
      <c r="Q16" s="23" t="s">
        <v>128</v>
      </c>
      <c r="R16" s="13"/>
    </row>
    <row r="17" spans="1:18" s="29" customFormat="1" ht="15.5">
      <c r="A17" s="2">
        <v>5</v>
      </c>
      <c r="B17" s="14" t="s">
        <v>50</v>
      </c>
      <c r="C17" s="18" t="s">
        <v>222</v>
      </c>
      <c r="D17" s="135" t="s">
        <v>223</v>
      </c>
      <c r="E17" s="24" t="s">
        <v>30</v>
      </c>
      <c r="F17" s="28" t="s">
        <v>37</v>
      </c>
      <c r="G17" s="42">
        <v>40896</v>
      </c>
      <c r="H17" s="12" t="s">
        <v>29</v>
      </c>
      <c r="I17" s="25" t="s">
        <v>89</v>
      </c>
      <c r="J17" s="13" t="s">
        <v>38</v>
      </c>
      <c r="K17" s="2" t="s">
        <v>39</v>
      </c>
      <c r="L17" s="2" t="s">
        <v>76</v>
      </c>
      <c r="M17" s="2" t="s">
        <v>33</v>
      </c>
      <c r="N17" s="2" t="s">
        <v>33</v>
      </c>
      <c r="O17" s="3" t="s">
        <v>349</v>
      </c>
      <c r="P17" s="12">
        <v>2017</v>
      </c>
      <c r="Q17" s="23" t="s">
        <v>129</v>
      </c>
      <c r="R17" s="13"/>
    </row>
    <row r="18" spans="1:18" s="29" customFormat="1" ht="15.5">
      <c r="A18" s="2">
        <v>6</v>
      </c>
      <c r="B18" s="14" t="s">
        <v>51</v>
      </c>
      <c r="C18" s="18" t="s">
        <v>224</v>
      </c>
      <c r="D18" s="135" t="s">
        <v>115</v>
      </c>
      <c r="E18" s="24" t="s">
        <v>26</v>
      </c>
      <c r="F18" s="28" t="s">
        <v>37</v>
      </c>
      <c r="G18" s="42">
        <v>40811</v>
      </c>
      <c r="H18" s="12" t="s">
        <v>29</v>
      </c>
      <c r="I18" s="25" t="s">
        <v>124</v>
      </c>
      <c r="J18" s="13" t="s">
        <v>38</v>
      </c>
      <c r="K18" s="2" t="s">
        <v>39</v>
      </c>
      <c r="L18" s="2" t="s">
        <v>76</v>
      </c>
      <c r="M18" s="2" t="s">
        <v>33</v>
      </c>
      <c r="N18" s="2" t="s">
        <v>33</v>
      </c>
      <c r="O18" s="3" t="s">
        <v>349</v>
      </c>
      <c r="P18" s="12">
        <v>2017</v>
      </c>
      <c r="Q18" s="23" t="s">
        <v>131</v>
      </c>
      <c r="R18" s="13"/>
    </row>
    <row r="19" spans="1:18" s="29" customFormat="1" ht="15.5">
      <c r="A19" s="2">
        <v>7</v>
      </c>
      <c r="B19" s="14" t="s">
        <v>52</v>
      </c>
      <c r="C19" s="18" t="s">
        <v>225</v>
      </c>
      <c r="D19" s="28" t="s">
        <v>116</v>
      </c>
      <c r="E19" s="24" t="s">
        <v>26</v>
      </c>
      <c r="F19" s="28" t="s">
        <v>119</v>
      </c>
      <c r="G19" s="42">
        <v>40586</v>
      </c>
      <c r="H19" s="12" t="s">
        <v>29</v>
      </c>
      <c r="I19" s="25" t="s">
        <v>125</v>
      </c>
      <c r="J19" s="13" t="s">
        <v>40</v>
      </c>
      <c r="K19" s="2" t="s">
        <v>39</v>
      </c>
      <c r="L19" s="2" t="s">
        <v>76</v>
      </c>
      <c r="M19" s="2" t="s">
        <v>33</v>
      </c>
      <c r="N19" s="2" t="s">
        <v>33</v>
      </c>
      <c r="O19" s="3" t="s">
        <v>349</v>
      </c>
      <c r="P19" s="12">
        <v>2017</v>
      </c>
      <c r="Q19" s="23" t="s">
        <v>77</v>
      </c>
      <c r="R19" s="13"/>
    </row>
    <row r="20" spans="1:18" s="29" customFormat="1" ht="15.5">
      <c r="A20" s="2">
        <v>8</v>
      </c>
      <c r="B20" s="14" t="s">
        <v>53</v>
      </c>
      <c r="C20" s="18" t="s">
        <v>226</v>
      </c>
      <c r="D20" s="135" t="s">
        <v>117</v>
      </c>
      <c r="E20" s="24" t="s">
        <v>26</v>
      </c>
      <c r="F20" s="28" t="s">
        <v>37</v>
      </c>
      <c r="G20" s="42">
        <v>40810</v>
      </c>
      <c r="H20" s="12" t="s">
        <v>29</v>
      </c>
      <c r="I20" s="25" t="s">
        <v>126</v>
      </c>
      <c r="J20" s="13" t="s">
        <v>43</v>
      </c>
      <c r="K20" s="2" t="s">
        <v>41</v>
      </c>
      <c r="L20" s="2" t="s">
        <v>76</v>
      </c>
      <c r="M20" s="2" t="s">
        <v>33</v>
      </c>
      <c r="N20" s="2" t="s">
        <v>33</v>
      </c>
      <c r="O20" s="3" t="s">
        <v>349</v>
      </c>
      <c r="P20" s="12">
        <v>2017</v>
      </c>
      <c r="Q20" s="23" t="s">
        <v>130</v>
      </c>
      <c r="R20" s="13"/>
    </row>
    <row r="21" spans="1:18" s="29" customFormat="1" ht="15.5">
      <c r="A21" s="2">
        <v>9</v>
      </c>
      <c r="B21" s="14" t="s">
        <v>54</v>
      </c>
      <c r="C21" s="18" t="s">
        <v>227</v>
      </c>
      <c r="D21" s="28" t="s">
        <v>118</v>
      </c>
      <c r="E21" s="24" t="s">
        <v>30</v>
      </c>
      <c r="F21" s="28" t="s">
        <v>37</v>
      </c>
      <c r="G21" s="42">
        <v>40743</v>
      </c>
      <c r="H21" s="12" t="s">
        <v>29</v>
      </c>
      <c r="I21" s="25" t="s">
        <v>127</v>
      </c>
      <c r="J21" s="13" t="s">
        <v>38</v>
      </c>
      <c r="K21" s="2" t="s">
        <v>41</v>
      </c>
      <c r="L21" s="2" t="s">
        <v>76</v>
      </c>
      <c r="M21" s="2" t="s">
        <v>33</v>
      </c>
      <c r="N21" s="2" t="s">
        <v>33</v>
      </c>
      <c r="O21" s="3" t="s">
        <v>349</v>
      </c>
      <c r="P21" s="12">
        <v>2017</v>
      </c>
      <c r="Q21" s="23" t="s">
        <v>77</v>
      </c>
      <c r="R21" s="13"/>
    </row>
    <row r="22" spans="1:18" ht="15.5">
      <c r="A22" s="2">
        <v>10</v>
      </c>
      <c r="B22" s="2">
        <v>19061</v>
      </c>
      <c r="C22" s="3" t="s">
        <v>240</v>
      </c>
      <c r="D22" s="136" t="s">
        <v>181</v>
      </c>
      <c r="E22" s="4" t="s">
        <v>30</v>
      </c>
      <c r="F22" s="5" t="s">
        <v>177</v>
      </c>
      <c r="G22" s="43">
        <v>40766</v>
      </c>
      <c r="H22" s="2" t="s">
        <v>29</v>
      </c>
      <c r="I22" s="32" t="s">
        <v>179</v>
      </c>
      <c r="J22" s="2" t="s">
        <v>38</v>
      </c>
      <c r="K22" s="2" t="s">
        <v>182</v>
      </c>
      <c r="L22" s="2" t="s">
        <v>76</v>
      </c>
      <c r="M22" s="2" t="s">
        <v>33</v>
      </c>
      <c r="N22" s="2" t="s">
        <v>33</v>
      </c>
      <c r="O22" s="3" t="s">
        <v>349</v>
      </c>
      <c r="P22" s="12">
        <v>2017</v>
      </c>
      <c r="Q22" s="34" t="s">
        <v>183</v>
      </c>
      <c r="R22" s="2"/>
    </row>
    <row r="23" spans="1:18" ht="15.5">
      <c r="A23" s="1"/>
      <c r="B23" s="1"/>
      <c r="C23" s="1"/>
      <c r="D23" s="1"/>
      <c r="E23" s="1"/>
      <c r="F23" s="1"/>
      <c r="G23" s="38"/>
      <c r="H23" s="1"/>
      <c r="I23" s="1"/>
      <c r="J23" s="1"/>
      <c r="K23" s="1"/>
      <c r="L23" s="1"/>
      <c r="M23" s="1"/>
      <c r="N23" s="1"/>
      <c r="O23" s="1"/>
      <c r="R23" s="1"/>
    </row>
    <row r="24" spans="1:18" ht="15.5">
      <c r="A24" s="1"/>
      <c r="B24" s="8" t="s">
        <v>34</v>
      </c>
      <c r="C24" s="1"/>
      <c r="D24" s="1"/>
      <c r="E24" s="1"/>
      <c r="F24" s="1"/>
      <c r="G24" s="38"/>
      <c r="H24" s="1"/>
      <c r="I24" s="1"/>
      <c r="J24" s="1"/>
      <c r="K24" s="1"/>
      <c r="L24" s="1"/>
      <c r="M24" s="1"/>
      <c r="N24" s="1"/>
      <c r="O24" s="1"/>
      <c r="R24" s="1"/>
    </row>
    <row r="25" spans="1:18" ht="15.5">
      <c r="A25" s="1"/>
      <c r="B25" s="7" t="s">
        <v>26</v>
      </c>
      <c r="C25" s="1" t="s">
        <v>369</v>
      </c>
      <c r="D25" s="1"/>
      <c r="E25" s="1"/>
      <c r="F25" s="1"/>
      <c r="G25" s="38"/>
      <c r="H25" s="1"/>
      <c r="I25" s="1"/>
      <c r="J25" s="1"/>
      <c r="K25" s="1"/>
      <c r="L25" s="1"/>
      <c r="M25" s="1"/>
      <c r="N25" s="1"/>
      <c r="O25" s="1"/>
      <c r="P25" s="9"/>
      <c r="Q25" s="9"/>
      <c r="R25" s="1"/>
    </row>
    <row r="26" spans="1:18" ht="15.5">
      <c r="A26" s="1"/>
      <c r="B26" s="7" t="s">
        <v>31</v>
      </c>
      <c r="C26" s="1" t="s">
        <v>369</v>
      </c>
      <c r="D26" s="1"/>
      <c r="E26" s="1"/>
      <c r="F26" s="1"/>
      <c r="G26" s="38"/>
      <c r="H26" s="1"/>
      <c r="I26" s="1"/>
      <c r="J26" s="1"/>
      <c r="K26" s="1"/>
      <c r="L26" s="1"/>
      <c r="M26" s="1"/>
      <c r="N26" s="1"/>
      <c r="O26" s="1"/>
      <c r="R26" s="1"/>
    </row>
    <row r="27" spans="1:18" ht="15.5">
      <c r="A27" s="1"/>
      <c r="B27" s="7" t="s">
        <v>32</v>
      </c>
      <c r="C27" s="1" t="s">
        <v>348</v>
      </c>
      <c r="D27" s="1"/>
      <c r="E27" s="1"/>
      <c r="F27" s="1"/>
      <c r="G27" s="38"/>
      <c r="H27" s="1"/>
      <c r="I27" s="1"/>
      <c r="J27" s="1"/>
      <c r="K27" s="1"/>
      <c r="L27" s="1"/>
      <c r="M27" s="1"/>
      <c r="N27" s="1"/>
      <c r="O27" s="1"/>
      <c r="P27" s="9"/>
      <c r="Q27" s="9"/>
      <c r="R27" s="1"/>
    </row>
    <row r="28" spans="1:18" ht="15.5">
      <c r="A28" s="1"/>
      <c r="B28" s="1"/>
      <c r="C28" s="1"/>
      <c r="D28" s="1"/>
      <c r="E28" s="1"/>
      <c r="F28" s="1"/>
      <c r="G28" s="38"/>
      <c r="H28" s="1"/>
      <c r="I28" s="1"/>
      <c r="J28" s="1"/>
      <c r="K28" s="1"/>
      <c r="L28" s="1"/>
      <c r="M28" s="1"/>
      <c r="N28" s="1"/>
      <c r="O28" s="1"/>
      <c r="P28" s="9"/>
      <c r="Q28" s="9"/>
      <c r="R28" s="1"/>
    </row>
    <row r="29" spans="1:18" ht="15.5">
      <c r="A29" s="1"/>
      <c r="B29" s="1"/>
      <c r="C29" s="1"/>
      <c r="D29" s="1"/>
      <c r="E29" s="1"/>
      <c r="F29" s="1"/>
      <c r="G29" s="38"/>
      <c r="H29" s="1"/>
      <c r="I29" s="1"/>
      <c r="J29" s="1"/>
      <c r="K29" s="1"/>
      <c r="L29" s="1"/>
      <c r="M29" s="1"/>
      <c r="N29" s="1"/>
      <c r="O29" s="1"/>
      <c r="P29" s="9"/>
      <c r="Q29" s="9"/>
      <c r="R29" s="1"/>
    </row>
    <row r="30" spans="1:18" ht="15.5">
      <c r="A30" s="1"/>
      <c r="B30" s="1"/>
      <c r="C30" s="1"/>
      <c r="D30" s="1"/>
      <c r="E30" s="1"/>
      <c r="F30" s="1"/>
      <c r="G30" s="38"/>
      <c r="H30" s="1"/>
      <c r="I30" s="1"/>
      <c r="J30" s="1"/>
      <c r="K30" s="1"/>
      <c r="L30" s="1"/>
      <c r="M30" s="1"/>
      <c r="N30" s="1"/>
      <c r="O30" s="1"/>
      <c r="P30" s="9"/>
      <c r="Q30" s="9"/>
      <c r="R30" s="1"/>
    </row>
    <row r="32" spans="1:18" ht="15.5">
      <c r="P32" s="9"/>
      <c r="Q32" s="9"/>
    </row>
    <row r="33" spans="16:17" ht="15.5">
      <c r="P33" s="9"/>
      <c r="Q33" s="9"/>
    </row>
  </sheetData>
  <mergeCells count="15">
    <mergeCell ref="A1:R1"/>
    <mergeCell ref="A2:R2"/>
    <mergeCell ref="A3:R3"/>
    <mergeCell ref="A10:A11"/>
    <mergeCell ref="B10:C10"/>
    <mergeCell ref="D10:D11"/>
    <mergeCell ref="E10:E11"/>
    <mergeCell ref="F10:G10"/>
    <mergeCell ref="H10:H11"/>
    <mergeCell ref="I10:K10"/>
    <mergeCell ref="L10:L11"/>
    <mergeCell ref="M10:N10"/>
    <mergeCell ref="O10:P10"/>
    <mergeCell ref="Q10:Q11"/>
    <mergeCell ref="R10:R11"/>
  </mergeCells>
  <conditionalFormatting sqref="B13">
    <cfRule type="duplicateValues" dxfId="6" priority="8" stopIfTrue="1"/>
  </conditionalFormatting>
  <conditionalFormatting sqref="B15">
    <cfRule type="duplicateValues" dxfId="5" priority="5" stopIfTrue="1"/>
  </conditionalFormatting>
  <conditionalFormatting sqref="B16">
    <cfRule type="duplicateValues" dxfId="4" priority="4" stopIfTrue="1"/>
  </conditionalFormatting>
  <conditionalFormatting sqref="G13:G21">
    <cfRule type="expression" dxfId="3" priority="1" stopIfTrue="1">
      <formula>G13=""</formula>
    </cfRule>
    <cfRule type="expression" dxfId="2" priority="2" stopIfTrue="1">
      <formula>AND(DATEVALUE(G13),G13&lt;&gt;"")</formula>
    </cfRule>
  </conditionalFormatting>
  <conditionalFormatting sqref="B14">
    <cfRule type="duplicateValues" dxfId="1" priority="74" stopIfTrue="1"/>
  </conditionalFormatting>
  <conditionalFormatting sqref="B17:B21">
    <cfRule type="duplicateValues" dxfId="0" priority="97" stopIfTrue="1"/>
  </conditionalFormatting>
  <dataValidations xWindow="292" yWindow="506" count="4">
    <dataValidation allowBlank="1" showInputMessage="1" showErrorMessage="1" prompt="(yyyy-mm-dd)_x000a_1996-05-18" sqref="G13:G21" xr:uid="{00000000-0002-0000-0800-000000000000}"/>
    <dataValidation type="list" allowBlank="1" showDropDown="1" showInputMessage="1" showErrorMessage="1" error="Gunakan L = Laki-laki, P = Perempuan" prompt="L = Laki-laki_x000a_P = Perempuan" sqref="E13:E21" xr:uid="{00000000-0002-0000-0800-000001000000}">
      <formula1>"L, P,"</formula1>
    </dataValidation>
    <dataValidation allowBlank="1" showInputMessage="1" showErrorMessage="1" prompt="Nomor Induk Siswa" sqref="B13:B21" xr:uid="{00000000-0002-0000-0800-000002000000}"/>
    <dataValidation type="list" allowBlank="1" showDropDown="1" showInputMessage="1" showErrorMessage="1" error="Isi Sesuai Kode Pekerjaan" prompt="A = Petani/Peternak_x000a_B = PNS_x000a_C = TNI/Polri_x000a_D = Guru/Dosen_x000a_E = Dokter_x000a_F = Politikus_x000a_G = Pedagang/Wiraswasta_x000a_H = Pegawai Swasta_x000a_I = Buruh_x000a_J = Seni/Lukis/Artis/Sejenisnya_x000a_K = Tidak Bekerja_x000a_L = Lainnya" sqref="H13:H22" xr:uid="{00000000-0002-0000-0800-000003000000}">
      <formula1>"A, B, C, D, E, F, G, H, I, J, K, L,"</formula1>
    </dataValidation>
  </dataValidations>
  <pageMargins left="0.7" right="0.7" top="0.75" bottom="0.75" header="0.3" footer="0.3"/>
  <pageSetup paperSize="5" scale="6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Kelas 1</vt:lpstr>
      <vt:lpstr>Kelas 2</vt:lpstr>
      <vt:lpstr>Kelas 3</vt:lpstr>
      <vt:lpstr>Kelas 4</vt:lpstr>
      <vt:lpstr>Kelas 5</vt:lpstr>
      <vt:lpstr>Kelas 6</vt:lpstr>
      <vt:lpstr>ANG 4</vt:lpstr>
      <vt:lpstr>ANG 3</vt:lpstr>
      <vt:lpstr>ANG 2</vt:lpstr>
      <vt:lpstr>ANG. 1</vt:lpstr>
      <vt:lpstr>'ANG 2'!Print_Area</vt:lpstr>
      <vt:lpstr>'ANG 3'!Print_Area</vt:lpstr>
      <vt:lpstr>'ANG 4'!Print_Area</vt:lpstr>
      <vt:lpstr>'Kelas 2'!Print_Area</vt:lpstr>
      <vt:lpstr>'Kelas 3'!Print_Area</vt:lpstr>
      <vt:lpstr>'Kelas 4'!Print_Area</vt:lpstr>
      <vt:lpstr>'Kelas 5'!Print_Area</vt:lpstr>
      <vt:lpstr>'Kelas 6'!Print_Area</vt:lpstr>
    </vt:vector>
  </TitlesOfParts>
  <Company>Acer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Digitalisasi</cp:lastModifiedBy>
  <cp:lastPrinted>2025-12-08T01:40:33Z</cp:lastPrinted>
  <dcterms:created xsi:type="dcterms:W3CDTF">2009-10-01T00:40:42Z</dcterms:created>
  <dcterms:modified xsi:type="dcterms:W3CDTF">2026-08-02T10:07:19Z</dcterms:modified>
</cp:coreProperties>
</file>